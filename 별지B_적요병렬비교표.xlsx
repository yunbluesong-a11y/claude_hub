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파트1_정상거래_송명욱" sheetId="1" state="visible" r:id="rId3"/>
    <sheet name="파트2_허위거래_조대제김상균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<sst xmlns="http://schemas.openxmlformats.org/spreadsheetml/2006/main" count="297" uniqueCount="104">
  <si>
    <r>
      <rPr>
        <b val="true"/>
        <sz val="14"/>
        <rFont val="DejaVu Sans"/>
        <family val="2"/>
      </rPr>
      <t xml:space="preserve">별지 </t>
    </r>
    <r>
      <rPr>
        <b val="true"/>
        <sz val="14"/>
        <rFont val="맑은 고딕"/>
        <family val="0"/>
        <charset val="1"/>
      </rPr>
      <t xml:space="preserve">B. </t>
    </r>
    <r>
      <rPr>
        <b val="true"/>
        <sz val="14"/>
        <rFont val="DejaVu Sans"/>
        <family val="2"/>
      </rPr>
      <t xml:space="preserve">회계장부 적요와 은행거래 병렬비교표</t>
    </r>
  </si>
  <si>
    <r>
      <rPr>
        <b val="true"/>
        <sz val="11"/>
        <color rgb="FF006100"/>
        <rFont val="DejaVu Sans"/>
        <family val="2"/>
      </rPr>
      <t xml:space="preserve">파트 </t>
    </r>
    <r>
      <rPr>
        <b val="true"/>
        <sz val="11"/>
        <color rgb="FF006100"/>
        <rFont val="맑은 고딕"/>
        <family val="0"/>
        <charset val="1"/>
      </rPr>
      <t xml:space="preserve">1. </t>
    </r>
    <r>
      <rPr>
        <b val="true"/>
        <sz val="11"/>
        <color rgb="FF006100"/>
        <rFont val="DejaVu Sans"/>
        <family val="2"/>
      </rPr>
      <t xml:space="preserve">정상거래 — 고소인 송명욱의 단기차입금</t>
    </r>
    <r>
      <rPr>
        <b val="true"/>
        <sz val="11"/>
        <color rgb="FF006100"/>
        <rFont val="맑은 고딕"/>
        <family val="0"/>
        <charset val="1"/>
      </rPr>
      <t xml:space="preserve">[260] </t>
    </r>
    <r>
      <rPr>
        <b val="true"/>
        <sz val="11"/>
        <color rgb="FF006100"/>
        <rFont val="DejaVu Sans"/>
        <family val="2"/>
      </rPr>
      <t xml:space="preserve">장부와 관리계좌 거래 매칭</t>
    </r>
  </si>
  <si>
    <r>
      <rPr>
        <i val="true"/>
        <sz val="9"/>
        <color rgb="FF006100"/>
        <rFont val="DejaVu Sans"/>
        <family val="2"/>
      </rPr>
      <t xml:space="preserve">→ 회계장부 기재 내역이 실제 은행거래와 </t>
    </r>
    <r>
      <rPr>
        <i val="true"/>
        <sz val="9"/>
        <color rgb="FF006100"/>
        <rFont val="맑은 고딕"/>
        <family val="0"/>
        <charset val="1"/>
      </rPr>
      <t xml:space="preserve">1:1 </t>
    </r>
    <r>
      <rPr>
        <i val="true"/>
        <sz val="9"/>
        <color rgb="FF006100"/>
        <rFont val="DejaVu Sans"/>
        <family val="2"/>
      </rPr>
      <t xml:space="preserve">대응함 </t>
    </r>
    <r>
      <rPr>
        <i val="true"/>
        <sz val="9"/>
        <color rgb="FF006100"/>
        <rFont val="맑은 고딕"/>
        <family val="0"/>
        <charset val="1"/>
      </rPr>
      <t xml:space="preserve">(</t>
    </r>
    <r>
      <rPr>
        <i val="true"/>
        <sz val="9"/>
        <color rgb="FF006100"/>
        <rFont val="DejaVu Sans"/>
        <family val="2"/>
      </rPr>
      <t xml:space="preserve">정상적 회계처리</t>
    </r>
    <r>
      <rPr>
        <i val="true"/>
        <sz val="9"/>
        <color rgb="FF006100"/>
        <rFont val="맑은 고딕"/>
        <family val="0"/>
        <charset val="1"/>
      </rPr>
      <t xml:space="preserve">)</t>
    </r>
  </si>
  <si>
    <t xml:space="preserve">순번</t>
  </si>
  <si>
    <t xml:space="preserve">날짜</t>
  </si>
  <si>
    <r>
      <rPr>
        <b val="true"/>
        <sz val="10"/>
        <rFont val="DejaVu Sans"/>
        <family val="2"/>
      </rPr>
      <t xml:space="preserve">장부 적요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단기차입금</t>
    </r>
    <r>
      <rPr>
        <b val="true"/>
        <sz val="10"/>
        <rFont val="맑은 고딕"/>
        <family val="0"/>
        <charset val="1"/>
      </rPr>
      <t xml:space="preserve">[260])</t>
    </r>
  </si>
  <si>
    <r>
      <rPr>
        <b val="true"/>
        <sz val="10"/>
        <rFont val="DejaVu Sans"/>
        <family val="2"/>
      </rPr>
      <t xml:space="preserve">장부 금액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
</t>
    </r>
    <r>
      <rPr>
        <b val="true"/>
        <sz val="10"/>
        <rFont val="DejaVu Sans"/>
        <family val="2"/>
      </rPr>
      <t xml:space="preserve">차변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대변</t>
    </r>
  </si>
  <si>
    <t xml:space="preserve">방향</t>
  </si>
  <si>
    <r>
      <rPr>
        <b val="true"/>
        <sz val="10"/>
        <rFont val="DejaVu Sans"/>
        <family val="2"/>
      </rPr>
      <t xml:space="preserve">관리계좌 적요
</t>
    </r>
    <r>
      <rPr>
        <b val="true"/>
        <sz val="10"/>
        <rFont val="맑은 고딕"/>
        <family val="0"/>
        <charset val="1"/>
      </rPr>
      <t xml:space="preserve">(022504)</t>
    </r>
  </si>
  <si>
    <r>
      <rPr>
        <b val="true"/>
        <sz val="10"/>
        <rFont val="DejaVu Sans"/>
        <family val="2"/>
      </rPr>
      <t xml:space="preserve">관리계좌 금액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</si>
  <si>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매칭</t>
  </si>
  <si>
    <t xml:space="preserve">2018-01-23</t>
  </si>
  <si>
    <r>
      <rPr>
        <sz val="9"/>
        <rFont val="DejaVu Sans"/>
        <family val="2"/>
      </rPr>
      <t xml:space="preserve">단기채권으로대체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법인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</si>
  <si>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대변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입금</t>
    </r>
    <r>
      <rPr>
        <sz val="9"/>
        <rFont val="맑은 고딕"/>
        <family val="0"/>
        <charset val="1"/>
      </rPr>
      <t xml:space="preserve">)</t>
    </r>
  </si>
  <si>
    <t xml:space="preserve">송명욱</t>
  </si>
  <si>
    <t xml:space="preserve">✓</t>
  </si>
  <si>
    <t xml:space="preserve">2018-01-24</t>
  </si>
  <si>
    <t xml:space="preserve">2018-01-29</t>
  </si>
  <si>
    <t xml:space="preserve">대여금상환</t>
  </si>
  <si>
    <t xml:space="preserve">2018-02-26</t>
  </si>
  <si>
    <t xml:space="preserve">2018-03-13</t>
  </si>
  <si>
    <t xml:space="preserve">2018-03-23</t>
  </si>
  <si>
    <t xml:space="preserve">2018-04-25</t>
  </si>
  <si>
    <t xml:space="preserve">2018-05-25</t>
  </si>
  <si>
    <t xml:space="preserve">2018-06-26</t>
  </si>
  <si>
    <t xml:space="preserve">대여금반환</t>
  </si>
  <si>
    <t xml:space="preserve">2018-07-25</t>
  </si>
  <si>
    <t xml:space="preserve">2018-08-24</t>
  </si>
  <si>
    <t xml:space="preserve">2018-09-11</t>
  </si>
  <si>
    <t xml:space="preserve">2018-09-21</t>
  </si>
  <si>
    <t xml:space="preserve">2018-10-22</t>
  </si>
  <si>
    <t xml:space="preserve">2018-11-19</t>
  </si>
  <si>
    <t xml:space="preserve">2018-11-21</t>
  </si>
  <si>
    <r>
      <rPr>
        <sz val="9"/>
        <rFont val="DejaVu Sans"/>
        <family val="2"/>
      </rPr>
      <t xml:space="preserve">차변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출금</t>
    </r>
    <r>
      <rPr>
        <sz val="9"/>
        <rFont val="맑은 고딕"/>
        <family val="0"/>
        <charset val="1"/>
      </rPr>
      <t xml:space="preserve">)</t>
    </r>
  </si>
  <si>
    <t xml:space="preserve">송명욱가수금반환</t>
  </si>
  <si>
    <t xml:space="preserve">2018-12-03</t>
  </si>
  <si>
    <t xml:space="preserve">송명욱 가수금반환</t>
  </si>
  <si>
    <t xml:space="preserve">합계</t>
  </si>
  <si>
    <r>
      <rPr>
        <b val="true"/>
        <sz val="10"/>
        <rFont val="맑은 고딕"/>
        <family val="0"/>
        <charset val="1"/>
      </rPr>
      <t xml:space="preserve">19</t>
    </r>
    <r>
      <rPr>
        <b val="true"/>
        <sz val="10"/>
        <rFont val="DejaVu Sans"/>
        <family val="2"/>
      </rPr>
      <t xml:space="preserve">건</t>
    </r>
  </si>
  <si>
    <r>
      <rPr>
        <b val="true"/>
        <sz val="10"/>
        <rFont val="맑은 고딕"/>
        <family val="0"/>
        <charset val="1"/>
      </rPr>
      <t xml:space="preserve">17/19</t>
    </r>
    <r>
      <rPr>
        <b val="true"/>
        <sz val="10"/>
        <rFont val="DejaVu Sans"/>
        <family val="2"/>
      </rPr>
      <t xml:space="preserve">건 매칭</t>
    </r>
  </si>
  <si>
    <r>
      <rPr>
        <b val="true"/>
        <sz val="11"/>
        <color rgb="FFC00000"/>
        <rFont val="DejaVu Sans"/>
        <family val="2"/>
      </rPr>
      <t xml:space="preserve">파트 </t>
    </r>
    <r>
      <rPr>
        <b val="true"/>
        <sz val="11"/>
        <color rgb="FFC00000"/>
        <rFont val="맑은 고딕"/>
        <family val="0"/>
        <charset val="1"/>
      </rPr>
      <t xml:space="preserve">2. </t>
    </r>
    <r>
      <rPr>
        <b val="true"/>
        <sz val="11"/>
        <color rgb="FFC00000"/>
        <rFont val="DejaVu Sans"/>
        <family val="2"/>
      </rPr>
      <t xml:space="preserve">허위거래 — 피고소인 조대제</t>
    </r>
    <r>
      <rPr>
        <b val="true"/>
        <sz val="11"/>
        <color rgb="FFC00000"/>
        <rFont val="맑은 고딕"/>
        <family val="0"/>
        <charset val="1"/>
      </rPr>
      <t xml:space="preserve">·</t>
    </r>
    <r>
      <rPr>
        <b val="true"/>
        <sz val="11"/>
        <color rgb="FFC00000"/>
        <rFont val="DejaVu Sans"/>
        <family val="2"/>
      </rPr>
      <t xml:space="preserve">김상균의 가수금반환</t>
    </r>
    <r>
      <rPr>
        <b val="true"/>
        <sz val="11"/>
        <color rgb="FFC00000"/>
        <rFont val="맑은 고딕"/>
        <family val="0"/>
        <charset val="1"/>
      </rPr>
      <t xml:space="preserve">/</t>
    </r>
    <r>
      <rPr>
        <b val="true"/>
        <sz val="11"/>
        <color rgb="FFC00000"/>
        <rFont val="DejaVu Sans"/>
        <family val="2"/>
      </rPr>
      <t xml:space="preserve">대여금반환 은행거래와 회계장부 부재</t>
    </r>
  </si>
  <si>
    <r>
      <rPr>
        <i val="true"/>
        <sz val="9"/>
        <color rgb="FFC00000"/>
        <rFont val="DejaVu Sans"/>
        <family val="2"/>
      </rPr>
      <t xml:space="preserve">→ 은행 적요에 </t>
    </r>
    <r>
      <rPr>
        <i val="true"/>
        <sz val="9"/>
        <color rgb="FFC00000"/>
        <rFont val="맑은 고딕"/>
        <family val="0"/>
        <charset val="1"/>
      </rPr>
      <t xml:space="preserve">"</t>
    </r>
    <r>
      <rPr>
        <i val="true"/>
        <sz val="9"/>
        <color rgb="FFC00000"/>
        <rFont val="DejaVu Sans"/>
        <family val="2"/>
      </rPr>
      <t xml:space="preserve">가수금반환</t>
    </r>
    <r>
      <rPr>
        <i val="true"/>
        <sz val="9"/>
        <color rgb="FFC00000"/>
        <rFont val="맑은 고딕"/>
        <family val="0"/>
        <charset val="1"/>
      </rPr>
      <t xml:space="preserve">/</t>
    </r>
    <r>
      <rPr>
        <i val="true"/>
        <sz val="9"/>
        <color rgb="FFC00000"/>
        <rFont val="DejaVu Sans"/>
        <family val="2"/>
      </rPr>
      <t xml:space="preserve">대여금반환</t>
    </r>
    <r>
      <rPr>
        <i val="true"/>
        <sz val="9"/>
        <color rgb="FFC00000"/>
        <rFont val="맑은 고딕"/>
        <family val="0"/>
        <charset val="1"/>
      </rPr>
      <t xml:space="preserve">"</t>
    </r>
    <r>
      <rPr>
        <i val="true"/>
        <sz val="9"/>
        <color rgb="FFC00000"/>
        <rFont val="DejaVu Sans"/>
        <family val="2"/>
      </rPr>
      <t xml:space="preserve">으로 기재되었으나</t>
    </r>
    <r>
      <rPr>
        <i val="true"/>
        <sz val="9"/>
        <color rgb="FFC00000"/>
        <rFont val="맑은 고딕"/>
        <family val="0"/>
        <charset val="1"/>
      </rPr>
      <t xml:space="preserve">, </t>
    </r>
    <r>
      <rPr>
        <i val="true"/>
        <sz val="9"/>
        <color rgb="FFC00000"/>
        <rFont val="DejaVu Sans"/>
        <family val="2"/>
      </rPr>
      <t xml:space="preserve">이에 대응하는 회계장부 기재가 확인되지 않음 → 압수수색 필요</t>
    </r>
  </si>
  <si>
    <r>
      <rPr>
        <b val="true"/>
        <sz val="10"/>
        <rFont val="DejaVu Sans"/>
        <family val="2"/>
      </rPr>
      <t xml:space="preserve">은행 적요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관리계좌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</si>
  <si>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출금 금액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</si>
  <si>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수취계좌</t>
  </si>
  <si>
    <t xml:space="preserve">회계장부 대응 기재</t>
  </si>
  <si>
    <r>
      <rPr>
        <b val="true"/>
        <sz val="10"/>
        <rFont val="DejaVu Sans"/>
        <family val="2"/>
      </rPr>
      <t xml:space="preserve">장부 금액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</si>
  <si>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비고</t>
  </si>
  <si>
    <r>
      <rPr>
        <b val="true"/>
        <sz val="10"/>
        <rFont val="DejaVu Sans"/>
        <family val="2"/>
      </rPr>
      <t xml:space="preserve">피고소인 조대제 — 가수금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대여금 명목 유용 </t>
    </r>
    <r>
      <rPr>
        <b val="true"/>
        <sz val="10"/>
        <rFont val="맑은 고딕"/>
        <family val="0"/>
        <charset val="1"/>
      </rPr>
      <t xml:space="preserve">(15</t>
    </r>
    <r>
      <rPr>
        <b val="true"/>
        <sz val="10"/>
        <rFont val="DejaVu Sans"/>
        <family val="2"/>
      </rPr>
      <t xml:space="preserve">건</t>
    </r>
    <r>
      <rPr>
        <b val="true"/>
        <sz val="10"/>
        <rFont val="맑은 고딕"/>
        <family val="0"/>
        <charset val="1"/>
      </rPr>
      <t xml:space="preserve">, 50,500,000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</si>
  <si>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2016-10-05</t>
  </si>
  <si>
    <t xml:space="preserve">대여금변제</t>
  </si>
  <si>
    <r>
      <rPr>
        <sz val="9"/>
        <rFont val="맑은 고딕"/>
        <family val="0"/>
        <charset val="1"/>
      </rPr>
      <t xml:space="preserve">24391029794207
(</t>
    </r>
    <r>
      <rPr>
        <sz val="9"/>
        <rFont val="DejaVu Sans"/>
        <family val="2"/>
      </rPr>
      <t xml:space="preserve">조대제 개인</t>
    </r>
    <r>
      <rPr>
        <sz val="9"/>
        <rFont val="맑은 고딕"/>
        <family val="0"/>
        <charset val="1"/>
      </rPr>
      <t xml:space="preserve">)</t>
    </r>
  </si>
  <si>
    <t xml:space="preserve">해당 없음</t>
  </si>
  <si>
    <t xml:space="preserve">-</t>
  </si>
  <si>
    <t xml:space="preserve">회계장부 미확인</t>
  </si>
  <si>
    <t xml:space="preserve">2016-11-07</t>
  </si>
  <si>
    <r>
      <rPr>
        <sz val="9"/>
        <rFont val="맑은 고딕"/>
        <family val="0"/>
        <charset val="1"/>
      </rPr>
      <t xml:space="preserve">15091013175307
(</t>
    </r>
    <r>
      <rPr>
        <sz val="9"/>
        <rFont val="DejaVu Sans"/>
        <family val="2"/>
      </rPr>
      <t xml:space="preserve">조대제 급여</t>
    </r>
    <r>
      <rPr>
        <sz val="9"/>
        <rFont val="맑은 고딕"/>
        <family val="0"/>
        <charset val="1"/>
      </rPr>
      <t xml:space="preserve">)</t>
    </r>
  </si>
  <si>
    <t xml:space="preserve">메인계좌 직접이체</t>
  </si>
  <si>
    <t xml:space="preserve">2016-11-28</t>
  </si>
  <si>
    <t xml:space="preserve">15091013175307</t>
  </si>
  <si>
    <t xml:space="preserve">2016-12-01</t>
  </si>
  <si>
    <t xml:space="preserve">대여금 상환</t>
  </si>
  <si>
    <t xml:space="preserve">2016-12-12</t>
  </si>
  <si>
    <t xml:space="preserve">대여금 변제</t>
  </si>
  <si>
    <t xml:space="preserve">2017-01-20</t>
  </si>
  <si>
    <t xml:space="preserve">대여금 반환</t>
  </si>
  <si>
    <t xml:space="preserve">2017-04-27</t>
  </si>
  <si>
    <t xml:space="preserve">가수금반환</t>
  </si>
  <si>
    <t xml:space="preserve">2017-11-10</t>
  </si>
  <si>
    <t xml:space="preserve">조대제 가수금 반환</t>
  </si>
  <si>
    <t xml:space="preserve">24391029794207</t>
  </si>
  <si>
    <t xml:space="preserve">2017-11-17</t>
  </si>
  <si>
    <r>
      <rPr>
        <sz val="9"/>
        <rFont val="맑은 고딕"/>
        <family val="0"/>
        <charset val="1"/>
      </rPr>
      <t xml:space="preserve">20591014227907
(</t>
    </r>
    <r>
      <rPr>
        <sz val="9"/>
        <rFont val="DejaVu Sans"/>
        <family val="2"/>
      </rPr>
      <t xml:space="preserve">조대제 개인</t>
    </r>
    <r>
      <rPr>
        <sz val="9"/>
        <rFont val="맑은 고딕"/>
        <family val="0"/>
        <charset val="1"/>
      </rPr>
      <t xml:space="preserve">2)</t>
    </r>
  </si>
  <si>
    <t xml:space="preserve">2017-11-30</t>
  </si>
  <si>
    <t xml:space="preserve">2018-01-02</t>
  </si>
  <si>
    <t xml:space="preserve">20591014227907</t>
  </si>
  <si>
    <t xml:space="preserve">2018-04-19</t>
  </si>
  <si>
    <t xml:space="preserve">2018-08-30</t>
  </si>
  <si>
    <t xml:space="preserve">조대제 소계</t>
  </si>
  <si>
    <r>
      <rPr>
        <b val="true"/>
        <sz val="10"/>
        <rFont val="맑은 고딕"/>
        <family val="0"/>
        <charset val="1"/>
      </rPr>
      <t xml:space="preserve">14</t>
    </r>
    <r>
      <rPr>
        <b val="true"/>
        <sz val="10"/>
        <rFont val="DejaVu Sans"/>
        <family val="2"/>
      </rPr>
      <t xml:space="preserve">건</t>
    </r>
  </si>
  <si>
    <r>
      <rPr>
        <b val="true"/>
        <sz val="10"/>
        <rFont val="DejaVu Sans"/>
        <family val="2"/>
      </rPr>
      <t xml:space="preserve">피고소인 김상균 — 가수금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대여금 명목 유용 </t>
    </r>
    <r>
      <rPr>
        <b val="true"/>
        <sz val="10"/>
        <rFont val="맑은 고딕"/>
        <family val="0"/>
        <charset val="1"/>
      </rPr>
      <t xml:space="preserve">(14</t>
    </r>
    <r>
      <rPr>
        <b val="true"/>
        <sz val="10"/>
        <rFont val="DejaVu Sans"/>
        <family val="2"/>
      </rPr>
      <t xml:space="preserve">건</t>
    </r>
    <r>
      <rPr>
        <b val="true"/>
        <sz val="10"/>
        <rFont val="맑은 고딕"/>
        <family val="0"/>
        <charset val="1"/>
      </rPr>
      <t xml:space="preserve">, 94,805,860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</si>
  <si>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2016-12-08</t>
  </si>
  <si>
    <r>
      <rPr>
        <sz val="9"/>
        <rFont val="맑은 고딕"/>
        <family val="0"/>
        <charset val="1"/>
      </rPr>
      <t xml:space="preserve">24391029728707
(</t>
    </r>
    <r>
      <rPr>
        <sz val="9"/>
        <rFont val="DejaVu Sans"/>
        <family val="2"/>
      </rPr>
      <t xml:space="preserve">김상균 개인</t>
    </r>
    <r>
      <rPr>
        <sz val="9"/>
        <rFont val="맑은 고딕"/>
        <family val="0"/>
        <charset val="1"/>
      </rPr>
      <t xml:space="preserve">)</t>
    </r>
  </si>
  <si>
    <t xml:space="preserve">2016-12-19</t>
  </si>
  <si>
    <r>
      <rPr>
        <sz val="9"/>
        <rFont val="맑은 고딕"/>
        <family val="0"/>
        <charset val="1"/>
      </rPr>
      <t xml:space="preserve">84880100012716
(</t>
    </r>
    <r>
      <rPr>
        <sz val="9"/>
        <rFont val="DejaVu Sans"/>
        <family val="2"/>
      </rPr>
      <t xml:space="preserve">김상균 타행</t>
    </r>
    <r>
      <rPr>
        <sz val="9"/>
        <rFont val="맑은 고딕"/>
        <family val="0"/>
        <charset val="1"/>
      </rPr>
      <t xml:space="preserve">)</t>
    </r>
  </si>
  <si>
    <t xml:space="preserve">2017-01-13</t>
  </si>
  <si>
    <t xml:space="preserve">84880100012716</t>
  </si>
  <si>
    <t xml:space="preserve">2017-05-25</t>
  </si>
  <si>
    <t xml:space="preserve">24391029728707</t>
  </si>
  <si>
    <t xml:space="preserve">2017-06-27</t>
  </si>
  <si>
    <t xml:space="preserve">2017-06-28</t>
  </si>
  <si>
    <t xml:space="preserve">2017-09-01</t>
  </si>
  <si>
    <t xml:space="preserve">2017-11-16</t>
  </si>
  <si>
    <t xml:space="preserve">2018-04-17</t>
  </si>
  <si>
    <t xml:space="preserve">2018-12-18</t>
  </si>
  <si>
    <t xml:space="preserve">2019-01-11</t>
  </si>
  <si>
    <t xml:space="preserve">2017-06-21</t>
  </si>
  <si>
    <t xml:space="preserve">지분인수</t>
  </si>
  <si>
    <t xml:space="preserve">22991001923104</t>
  </si>
  <si>
    <t xml:space="preserve">법인계좌간</t>
  </si>
  <si>
    <t xml:space="preserve">김상균 소계</t>
  </si>
  <si>
    <r>
      <rPr>
        <b val="true"/>
        <sz val="11"/>
        <rFont val="DejaVu Sans"/>
        <family val="2"/>
      </rPr>
      <t xml:space="preserve">총합계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조대제</t>
    </r>
    <r>
      <rPr>
        <b val="true"/>
        <sz val="11"/>
        <rFont val="맑은 고딕"/>
        <family val="0"/>
        <charset val="1"/>
      </rPr>
      <t xml:space="preserve">+</t>
    </r>
    <r>
      <rPr>
        <b val="true"/>
        <sz val="11"/>
        <rFont val="DejaVu Sans"/>
        <family val="2"/>
      </rPr>
      <t xml:space="preserve">김상균</t>
    </r>
    <r>
      <rPr>
        <b val="true"/>
        <sz val="11"/>
        <rFont val="맑은 고딕"/>
        <family val="0"/>
        <charset val="1"/>
      </rPr>
      <t xml:space="preserve">)</t>
    </r>
  </si>
  <si>
    <t xml:space="preserve">전건 회계장부 미확인</t>
  </si>
  <si>
    <t xml:space="preserve">압수수색 필요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</si>
</sst>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DejaVu Sans"/>
      <family val="2"/>
    </font>
    <font>
      <b val="true"/>
      <sz val="14"/>
      <name val="맑은 고딕"/>
      <family val="0"/>
      <charset val="1"/>
    </font>
    <font>
      <b val="true"/>
      <sz val="11"/>
      <color rgb="FF006100"/>
      <name val="DejaVu Sans"/>
      <family val="2"/>
    </font>
    <font>
      <b val="true"/>
      <sz val="11"/>
      <color rgb="FF006100"/>
      <name val="맑은 고딕"/>
      <family val="0"/>
      <charset val="1"/>
    </font>
    <font>
      <i val="true"/>
      <sz val="9"/>
      <color rgb="FF006100"/>
      <name val="DejaVu Sans"/>
      <family val="2"/>
    </font>
    <font>
      <i val="true"/>
      <sz val="9"/>
      <color rgb="FF006100"/>
      <name val="맑은 고딕"/>
      <family val="0"/>
      <charset val="1"/>
    </font>
    <font>
      <b val="true"/>
      <sz val="10"/>
      <name val="DejaVu Sans"/>
      <family val="2"/>
    </font>
    <font>
      <b val="true"/>
      <sz val="10"/>
      <name val="맑은 고딕"/>
      <family val="0"/>
      <charset val="1"/>
    </font>
    <font>
      <sz val="9"/>
      <name val="맑은 고딕"/>
      <family val="0"/>
      <charset val="1"/>
    </font>
    <font>
      <sz val="9"/>
      <name val="DejaVu Sans"/>
      <family val="2"/>
    </font>
    <font>
      <b val="true"/>
      <sz val="11"/>
      <color rgb="FFC00000"/>
      <name val="DejaVu Sans"/>
      <family val="2"/>
    </font>
    <font>
      <b val="true"/>
      <sz val="11"/>
      <color rgb="FFC00000"/>
      <name val="맑은 고딕"/>
      <family val="0"/>
      <charset val="1"/>
    </font>
    <font>
      <i val="true"/>
      <sz val="9"/>
      <color rgb="FFC00000"/>
      <name val="DejaVu Sans"/>
      <family val="2"/>
    </font>
    <font>
      <i val="true"/>
      <sz val="9"/>
      <color rgb="FFC00000"/>
      <name val="맑은 고딕"/>
      <family val="0"/>
      <charset val="1"/>
    </font>
    <font>
      <b val="true"/>
      <sz val="11"/>
      <name val="DejaVu Sans"/>
      <family val="2"/>
    </font>
    <font>
      <b val="true"/>
      <sz val="11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EC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4.9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1.9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23.8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</row>
    <row r="7" customFormat="false" ht="15" hidden="false" customHeight="false" outlineLevel="0" collapsed="false">
      <c r="A7" s="5" t="n">
        <v>1</v>
      </c>
      <c r="B7" s="5" t="s">
        <v>11</v>
      </c>
      <c r="C7" s="6" t="s">
        <v>12</v>
      </c>
      <c r="D7" s="7" t="n">
        <v>5000000</v>
      </c>
      <c r="E7" s="6" t="s">
        <v>13</v>
      </c>
      <c r="F7" s="6" t="s">
        <v>14</v>
      </c>
      <c r="G7" s="7" t="n">
        <v>5000000</v>
      </c>
      <c r="H7" s="8" t="s">
        <v>15</v>
      </c>
    </row>
    <row r="8" customFormat="false" ht="15" hidden="false" customHeight="false" outlineLevel="0" collapsed="false">
      <c r="A8" s="5" t="n">
        <v>2</v>
      </c>
      <c r="B8" s="5" t="s">
        <v>16</v>
      </c>
      <c r="C8" s="6" t="s">
        <v>12</v>
      </c>
      <c r="D8" s="7" t="n">
        <v>10000000</v>
      </c>
      <c r="E8" s="6" t="s">
        <v>13</v>
      </c>
      <c r="F8" s="6" t="s">
        <v>14</v>
      </c>
      <c r="G8" s="7" t="n">
        <v>10000000</v>
      </c>
      <c r="H8" s="8" t="s">
        <v>15</v>
      </c>
    </row>
    <row r="9" customFormat="false" ht="15" hidden="false" customHeight="false" outlineLevel="0" collapsed="false">
      <c r="A9" s="5" t="n">
        <v>3</v>
      </c>
      <c r="B9" s="5" t="s">
        <v>17</v>
      </c>
      <c r="C9" s="6" t="s">
        <v>12</v>
      </c>
      <c r="D9" s="7" t="n">
        <v>5000000</v>
      </c>
      <c r="E9" s="6" t="s">
        <v>13</v>
      </c>
      <c r="F9" s="6" t="s">
        <v>18</v>
      </c>
      <c r="G9" s="7" t="n">
        <v>5000000</v>
      </c>
      <c r="H9" s="8" t="s">
        <v>15</v>
      </c>
    </row>
    <row r="10" customFormat="false" ht="15" hidden="false" customHeight="false" outlineLevel="0" collapsed="false">
      <c r="A10" s="5" t="n">
        <v>4</v>
      </c>
      <c r="B10" s="5" t="s">
        <v>19</v>
      </c>
      <c r="C10" s="6" t="s">
        <v>12</v>
      </c>
      <c r="D10" s="7" t="n">
        <v>10000000</v>
      </c>
      <c r="E10" s="6" t="s">
        <v>13</v>
      </c>
      <c r="F10" s="6" t="s">
        <v>14</v>
      </c>
      <c r="G10" s="7" t="n">
        <v>10000000</v>
      </c>
      <c r="H10" s="8" t="s">
        <v>15</v>
      </c>
    </row>
    <row r="11" customFormat="false" ht="15" hidden="false" customHeight="false" outlineLevel="0" collapsed="false">
      <c r="A11" s="5" t="n">
        <v>5</v>
      </c>
      <c r="B11" s="5" t="s">
        <v>20</v>
      </c>
      <c r="C11" s="6" t="s">
        <v>12</v>
      </c>
      <c r="D11" s="7" t="n">
        <v>10000000</v>
      </c>
      <c r="E11" s="6" t="s">
        <v>13</v>
      </c>
      <c r="F11" s="6" t="s">
        <v>14</v>
      </c>
      <c r="G11" s="7" t="n">
        <v>10000000</v>
      </c>
      <c r="H11" s="8" t="s">
        <v>15</v>
      </c>
    </row>
    <row r="12" customFormat="false" ht="15" hidden="false" customHeight="false" outlineLevel="0" collapsed="false">
      <c r="A12" s="5" t="n">
        <v>6</v>
      </c>
      <c r="B12" s="5" t="s">
        <v>21</v>
      </c>
      <c r="C12" s="6" t="s">
        <v>12</v>
      </c>
      <c r="D12" s="7" t="n">
        <v>5000000</v>
      </c>
      <c r="E12" s="6" t="s">
        <v>13</v>
      </c>
      <c r="F12" s="6" t="s">
        <v>14</v>
      </c>
      <c r="G12" s="7" t="n">
        <v>5000000</v>
      </c>
      <c r="H12" s="8" t="s">
        <v>15</v>
      </c>
    </row>
    <row r="13" customFormat="false" ht="15" hidden="false" customHeight="false" outlineLevel="0" collapsed="false">
      <c r="A13" s="5" t="n">
        <v>7</v>
      </c>
      <c r="B13" s="5" t="s">
        <v>21</v>
      </c>
      <c r="C13" s="6" t="s">
        <v>12</v>
      </c>
      <c r="D13" s="7" t="n">
        <v>5000000</v>
      </c>
      <c r="E13" s="6" t="s">
        <v>13</v>
      </c>
      <c r="F13" s="6" t="s">
        <v>14</v>
      </c>
      <c r="G13" s="7" t="n">
        <v>5000000</v>
      </c>
      <c r="H13" s="8" t="s">
        <v>15</v>
      </c>
    </row>
    <row r="14" customFormat="false" ht="15" hidden="false" customHeight="false" outlineLevel="0" collapsed="false">
      <c r="A14" s="5" t="n">
        <v>8</v>
      </c>
      <c r="B14" s="5" t="s">
        <v>22</v>
      </c>
      <c r="C14" s="6" t="s">
        <v>12</v>
      </c>
      <c r="D14" s="7" t="n">
        <v>5000000</v>
      </c>
      <c r="E14" s="6" t="s">
        <v>13</v>
      </c>
      <c r="F14" s="6" t="s">
        <v>18</v>
      </c>
      <c r="G14" s="7" t="n">
        <v>5000000</v>
      </c>
      <c r="H14" s="8" t="s">
        <v>15</v>
      </c>
    </row>
    <row r="15" customFormat="false" ht="15" hidden="false" customHeight="false" outlineLevel="0" collapsed="false">
      <c r="A15" s="5" t="n">
        <v>9</v>
      </c>
      <c r="B15" s="5" t="s">
        <v>23</v>
      </c>
      <c r="C15" s="6" t="s">
        <v>12</v>
      </c>
      <c r="D15" s="7" t="n">
        <v>10000000</v>
      </c>
      <c r="E15" s="6" t="s">
        <v>13</v>
      </c>
      <c r="F15" s="6" t="s">
        <v>18</v>
      </c>
      <c r="G15" s="7" t="n">
        <v>10000000</v>
      </c>
      <c r="H15" s="8" t="s">
        <v>15</v>
      </c>
    </row>
    <row r="16" customFormat="false" ht="15" hidden="false" customHeight="false" outlineLevel="0" collapsed="false">
      <c r="A16" s="5" t="n">
        <v>10</v>
      </c>
      <c r="B16" s="5" t="s">
        <v>24</v>
      </c>
      <c r="C16" s="6" t="s">
        <v>12</v>
      </c>
      <c r="D16" s="7" t="n">
        <v>4900000</v>
      </c>
      <c r="E16" s="6" t="s">
        <v>13</v>
      </c>
      <c r="F16" s="6" t="s">
        <v>25</v>
      </c>
      <c r="G16" s="7" t="n">
        <v>4900000</v>
      </c>
      <c r="H16" s="8" t="s">
        <v>15</v>
      </c>
    </row>
    <row r="17" customFormat="false" ht="15" hidden="false" customHeight="false" outlineLevel="0" collapsed="false">
      <c r="A17" s="5" t="n">
        <v>11</v>
      </c>
      <c r="B17" s="5" t="s">
        <v>26</v>
      </c>
      <c r="C17" s="6" t="s">
        <v>12</v>
      </c>
      <c r="D17" s="7" t="n">
        <v>10000000</v>
      </c>
      <c r="E17" s="6" t="s">
        <v>13</v>
      </c>
      <c r="F17" s="6" t="s">
        <v>14</v>
      </c>
      <c r="G17" s="7" t="n">
        <v>10000000</v>
      </c>
      <c r="H17" s="8" t="s">
        <v>15</v>
      </c>
    </row>
    <row r="18" customFormat="false" ht="15" hidden="false" customHeight="false" outlineLevel="0" collapsed="false">
      <c r="A18" s="5" t="n">
        <v>12</v>
      </c>
      <c r="B18" s="5" t="s">
        <v>27</v>
      </c>
      <c r="C18" s="6" t="s">
        <v>12</v>
      </c>
      <c r="D18" s="7" t="n">
        <v>10000000</v>
      </c>
      <c r="E18" s="6" t="s">
        <v>13</v>
      </c>
      <c r="F18" s="6" t="s">
        <v>14</v>
      </c>
      <c r="G18" s="7" t="n">
        <v>10000000</v>
      </c>
      <c r="H18" s="8" t="s">
        <v>15</v>
      </c>
    </row>
    <row r="19" customFormat="false" ht="15" hidden="false" customHeight="false" outlineLevel="0" collapsed="false">
      <c r="A19" s="5" t="n">
        <v>13</v>
      </c>
      <c r="B19" s="5" t="s">
        <v>28</v>
      </c>
      <c r="C19" s="6" t="s">
        <v>12</v>
      </c>
      <c r="D19" s="7" t="n">
        <v>5000000</v>
      </c>
      <c r="E19" s="6" t="s">
        <v>13</v>
      </c>
      <c r="F19" s="6" t="s">
        <v>14</v>
      </c>
      <c r="G19" s="7" t="n">
        <v>5000000</v>
      </c>
      <c r="H19" s="8" t="s">
        <v>15</v>
      </c>
    </row>
    <row r="20" customFormat="false" ht="15" hidden="false" customHeight="false" outlineLevel="0" collapsed="false">
      <c r="A20" s="5" t="n">
        <v>14</v>
      </c>
      <c r="B20" s="5" t="s">
        <v>29</v>
      </c>
      <c r="C20" s="6" t="s">
        <v>12</v>
      </c>
      <c r="D20" s="7" t="n">
        <v>5000000</v>
      </c>
      <c r="E20" s="6" t="s">
        <v>13</v>
      </c>
      <c r="F20" s="6" t="s">
        <v>14</v>
      </c>
      <c r="G20" s="7" t="n">
        <v>5000000</v>
      </c>
      <c r="H20" s="8" t="s">
        <v>15</v>
      </c>
    </row>
    <row r="21" customFormat="false" ht="15" hidden="false" customHeight="false" outlineLevel="0" collapsed="false">
      <c r="A21" s="5" t="n">
        <v>15</v>
      </c>
      <c r="B21" s="5" t="s">
        <v>30</v>
      </c>
      <c r="C21" s="6" t="s">
        <v>12</v>
      </c>
      <c r="D21" s="7" t="n">
        <v>5000000</v>
      </c>
      <c r="E21" s="6" t="s">
        <v>13</v>
      </c>
      <c r="F21" s="6" t="s">
        <v>14</v>
      </c>
      <c r="G21" s="7" t="n">
        <v>5000000</v>
      </c>
      <c r="H21" s="8" t="s">
        <v>15</v>
      </c>
    </row>
    <row r="22" customFormat="false" ht="15" hidden="false" customHeight="false" outlineLevel="0" collapsed="false">
      <c r="A22" s="5" t="n">
        <v>16</v>
      </c>
      <c r="B22" s="5" t="s">
        <v>31</v>
      </c>
      <c r="C22" s="6" t="s">
        <v>12</v>
      </c>
      <c r="D22" s="7" t="n">
        <v>1000000</v>
      </c>
      <c r="E22" s="6" t="s">
        <v>13</v>
      </c>
      <c r="F22" s="6" t="s">
        <v>14</v>
      </c>
      <c r="G22" s="7" t="n">
        <v>1000000</v>
      </c>
      <c r="H22" s="8" t="s">
        <v>15</v>
      </c>
    </row>
    <row r="23" customFormat="false" ht="15" hidden="false" customHeight="false" outlineLevel="0" collapsed="false">
      <c r="A23" s="5" t="n">
        <v>17</v>
      </c>
      <c r="B23" s="5" t="s">
        <v>32</v>
      </c>
      <c r="C23" s="6" t="s">
        <v>12</v>
      </c>
      <c r="D23" s="7" t="n">
        <v>1000000</v>
      </c>
      <c r="E23" s="6" t="s">
        <v>13</v>
      </c>
      <c r="F23" s="6" t="s">
        <v>14</v>
      </c>
      <c r="G23" s="7" t="n">
        <v>1000000</v>
      </c>
      <c r="H23" s="8" t="s">
        <v>15</v>
      </c>
    </row>
    <row r="24" customFormat="false" ht="15" hidden="false" customHeight="false" outlineLevel="0" collapsed="false">
      <c r="A24" s="5" t="n">
        <v>18</v>
      </c>
      <c r="B24" s="5" t="s">
        <v>31</v>
      </c>
      <c r="C24" s="6" t="s">
        <v>12</v>
      </c>
      <c r="D24" s="7" t="n">
        <v>4721240</v>
      </c>
      <c r="E24" s="6" t="s">
        <v>33</v>
      </c>
      <c r="F24" s="6" t="s">
        <v>34</v>
      </c>
      <c r="G24" s="7" t="n">
        <v>4721240</v>
      </c>
      <c r="H24" s="8" t="s">
        <v>15</v>
      </c>
    </row>
    <row r="25" customFormat="false" ht="15" hidden="false" customHeight="false" outlineLevel="0" collapsed="false">
      <c r="A25" s="5" t="n">
        <v>19</v>
      </c>
      <c r="B25" s="5" t="s">
        <v>35</v>
      </c>
      <c r="C25" s="6" t="s">
        <v>12</v>
      </c>
      <c r="D25" s="7" t="n">
        <v>1349081</v>
      </c>
      <c r="E25" s="6" t="s">
        <v>33</v>
      </c>
      <c r="F25" s="6" t="s">
        <v>36</v>
      </c>
      <c r="G25" s="7" t="n">
        <v>1349081</v>
      </c>
      <c r="H25" s="8" t="s">
        <v>15</v>
      </c>
    </row>
    <row r="26" customFormat="false" ht="15" hidden="false" customHeight="false" outlineLevel="0" collapsed="false">
      <c r="A26" s="9" t="s">
        <v>37</v>
      </c>
      <c r="B26" s="10" t="s">
        <v>38</v>
      </c>
      <c r="C26" s="9"/>
      <c r="D26" s="11" t="n">
        <f aca="false">SUM(D7:D25)</f>
        <v>112970321</v>
      </c>
      <c r="E26" s="9"/>
      <c r="F26" s="9"/>
      <c r="G26" s="11" t="n">
        <f aca="false">SUM(G7:G25)</f>
        <v>112970321</v>
      </c>
      <c r="H26" s="10" t="s">
        <v>39</v>
      </c>
    </row>
  </sheetData>
  <mergeCells count="3">
    <mergeCell ref="A1:H1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4.9" hidden="false" customHeight="false" outlineLevel="0" collapsed="false">
      <c r="A3" s="12" t="s">
        <v>40</v>
      </c>
      <c r="B3" s="12"/>
      <c r="C3" s="12"/>
      <c r="D3" s="12"/>
      <c r="E3" s="12"/>
      <c r="F3" s="12"/>
      <c r="G3" s="12"/>
      <c r="H3" s="12"/>
    </row>
    <row r="4" customFormat="false" ht="11.9" hidden="false" customHeight="false" outlineLevel="0" collapsed="false">
      <c r="A4" s="13" t="s">
        <v>41</v>
      </c>
      <c r="B4" s="13"/>
      <c r="C4" s="13"/>
      <c r="D4" s="13"/>
      <c r="E4" s="13"/>
      <c r="F4" s="13"/>
      <c r="G4" s="13"/>
      <c r="H4" s="13"/>
    </row>
    <row r="6" customFormat="false" ht="23.85" hidden="false" customHeight="false" outlineLevel="0" collapsed="false">
      <c r="A6" s="4" t="s">
        <v>3</v>
      </c>
      <c r="B6" s="4" t="s">
        <v>4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</row>
    <row r="8" customFormat="false" ht="12.65" hidden="false" customHeight="false" outlineLevel="0" collapsed="false">
      <c r="A8" s="14" t="s">
        <v>48</v>
      </c>
      <c r="B8" s="14"/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5" t="n">
        <v>1</v>
      </c>
      <c r="B9" s="5" t="s">
        <v>49</v>
      </c>
      <c r="C9" s="6" t="s">
        <v>50</v>
      </c>
      <c r="D9" s="7" t="n">
        <v>2000000</v>
      </c>
      <c r="E9" s="5" t="s">
        <v>51</v>
      </c>
      <c r="F9" s="15" t="s">
        <v>52</v>
      </c>
      <c r="G9" s="16" t="s">
        <v>53</v>
      </c>
      <c r="H9" s="6" t="s">
        <v>54</v>
      </c>
    </row>
    <row r="10" customFormat="false" ht="15" hidden="false" customHeight="false" outlineLevel="0" collapsed="false">
      <c r="A10" s="5" t="n">
        <v>2</v>
      </c>
      <c r="B10" s="5" t="s">
        <v>55</v>
      </c>
      <c r="C10" s="6" t="s">
        <v>25</v>
      </c>
      <c r="D10" s="7" t="n">
        <v>1400000</v>
      </c>
      <c r="E10" s="5" t="s">
        <v>56</v>
      </c>
      <c r="F10" s="15" t="s">
        <v>52</v>
      </c>
      <c r="G10" s="16" t="s">
        <v>53</v>
      </c>
      <c r="H10" s="6" t="s">
        <v>57</v>
      </c>
    </row>
    <row r="11" customFormat="false" ht="15" hidden="false" customHeight="false" outlineLevel="0" collapsed="false">
      <c r="A11" s="5" t="n">
        <v>3</v>
      </c>
      <c r="B11" s="5" t="s">
        <v>58</v>
      </c>
      <c r="C11" s="6" t="s">
        <v>25</v>
      </c>
      <c r="D11" s="7" t="n">
        <v>2600000</v>
      </c>
      <c r="E11" s="5" t="s">
        <v>59</v>
      </c>
      <c r="F11" s="15" t="s">
        <v>52</v>
      </c>
      <c r="G11" s="16" t="s">
        <v>53</v>
      </c>
      <c r="H11" s="6" t="s">
        <v>54</v>
      </c>
    </row>
    <row r="12" customFormat="false" ht="15" hidden="false" customHeight="false" outlineLevel="0" collapsed="false">
      <c r="A12" s="5" t="n">
        <v>4</v>
      </c>
      <c r="B12" s="5" t="s">
        <v>60</v>
      </c>
      <c r="C12" s="6" t="s">
        <v>61</v>
      </c>
      <c r="D12" s="7" t="n">
        <v>1000000</v>
      </c>
      <c r="E12" s="5" t="s">
        <v>59</v>
      </c>
      <c r="F12" s="15" t="s">
        <v>52</v>
      </c>
      <c r="G12" s="16" t="s">
        <v>53</v>
      </c>
      <c r="H12" s="6" t="s">
        <v>54</v>
      </c>
    </row>
    <row r="13" customFormat="false" ht="15" hidden="false" customHeight="false" outlineLevel="0" collapsed="false">
      <c r="A13" s="5" t="n">
        <v>5</v>
      </c>
      <c r="B13" s="5" t="s">
        <v>62</v>
      </c>
      <c r="C13" s="6" t="s">
        <v>63</v>
      </c>
      <c r="D13" s="7" t="n">
        <v>4000000</v>
      </c>
      <c r="E13" s="5" t="s">
        <v>59</v>
      </c>
      <c r="F13" s="15" t="s">
        <v>52</v>
      </c>
      <c r="G13" s="16" t="s">
        <v>53</v>
      </c>
      <c r="H13" s="6" t="s">
        <v>54</v>
      </c>
    </row>
    <row r="14" customFormat="false" ht="15" hidden="false" customHeight="false" outlineLevel="0" collapsed="false">
      <c r="A14" s="5" t="n">
        <v>6</v>
      </c>
      <c r="B14" s="5" t="s">
        <v>64</v>
      </c>
      <c r="C14" s="6" t="s">
        <v>65</v>
      </c>
      <c r="D14" s="7" t="n">
        <v>4000000</v>
      </c>
      <c r="E14" s="5" t="s">
        <v>59</v>
      </c>
      <c r="F14" s="15" t="s">
        <v>52</v>
      </c>
      <c r="G14" s="16" t="s">
        <v>53</v>
      </c>
      <c r="H14" s="6" t="s">
        <v>54</v>
      </c>
    </row>
    <row r="15" customFormat="false" ht="15" hidden="false" customHeight="false" outlineLevel="0" collapsed="false">
      <c r="A15" s="5" t="n">
        <v>7</v>
      </c>
      <c r="B15" s="5" t="s">
        <v>66</v>
      </c>
      <c r="C15" s="6" t="s">
        <v>67</v>
      </c>
      <c r="D15" s="7" t="n">
        <v>4000000</v>
      </c>
      <c r="E15" s="5" t="s">
        <v>59</v>
      </c>
      <c r="F15" s="15" t="s">
        <v>52</v>
      </c>
      <c r="G15" s="16" t="s">
        <v>53</v>
      </c>
      <c r="H15" s="6" t="s">
        <v>54</v>
      </c>
    </row>
    <row r="16" customFormat="false" ht="15" hidden="false" customHeight="false" outlineLevel="0" collapsed="false">
      <c r="A16" s="5" t="n">
        <v>8</v>
      </c>
      <c r="B16" s="5" t="s">
        <v>68</v>
      </c>
      <c r="C16" s="6" t="s">
        <v>69</v>
      </c>
      <c r="D16" s="7" t="n">
        <v>2500000</v>
      </c>
      <c r="E16" s="5" t="s">
        <v>70</v>
      </c>
      <c r="F16" s="15" t="s">
        <v>52</v>
      </c>
      <c r="G16" s="16" t="s">
        <v>53</v>
      </c>
      <c r="H16" s="6" t="s">
        <v>57</v>
      </c>
    </row>
    <row r="17" customFormat="false" ht="15" hidden="false" customHeight="false" outlineLevel="0" collapsed="false">
      <c r="A17" s="5" t="n">
        <v>9</v>
      </c>
      <c r="B17" s="5" t="s">
        <v>71</v>
      </c>
      <c r="C17" s="6" t="s">
        <v>67</v>
      </c>
      <c r="D17" s="7" t="n">
        <v>2500000</v>
      </c>
      <c r="E17" s="5" t="s">
        <v>72</v>
      </c>
      <c r="F17" s="15" t="s">
        <v>52</v>
      </c>
      <c r="G17" s="16" t="s">
        <v>53</v>
      </c>
      <c r="H17" s="6" t="s">
        <v>54</v>
      </c>
    </row>
    <row r="18" customFormat="false" ht="15" hidden="false" customHeight="false" outlineLevel="0" collapsed="false">
      <c r="A18" s="5" t="n">
        <v>10</v>
      </c>
      <c r="B18" s="5" t="s">
        <v>73</v>
      </c>
      <c r="C18" s="6" t="s">
        <v>67</v>
      </c>
      <c r="D18" s="7" t="n">
        <v>1000000</v>
      </c>
      <c r="E18" s="5" t="s">
        <v>59</v>
      </c>
      <c r="F18" s="15" t="s">
        <v>52</v>
      </c>
      <c r="G18" s="16" t="s">
        <v>53</v>
      </c>
      <c r="H18" s="6" t="s">
        <v>54</v>
      </c>
    </row>
    <row r="19" customFormat="false" ht="15" hidden="false" customHeight="false" outlineLevel="0" collapsed="false">
      <c r="A19" s="5" t="n">
        <v>11</v>
      </c>
      <c r="B19" s="5" t="s">
        <v>74</v>
      </c>
      <c r="C19" s="6" t="s">
        <v>67</v>
      </c>
      <c r="D19" s="7" t="n">
        <v>4000000</v>
      </c>
      <c r="E19" s="5" t="s">
        <v>75</v>
      </c>
      <c r="F19" s="15" t="s">
        <v>52</v>
      </c>
      <c r="G19" s="16" t="s">
        <v>53</v>
      </c>
      <c r="H19" s="6" t="s">
        <v>54</v>
      </c>
    </row>
    <row r="20" customFormat="false" ht="15" hidden="false" customHeight="false" outlineLevel="0" collapsed="false">
      <c r="A20" s="5" t="n">
        <v>12</v>
      </c>
      <c r="B20" s="5" t="s">
        <v>17</v>
      </c>
      <c r="C20" s="6" t="s">
        <v>67</v>
      </c>
      <c r="D20" s="7" t="n">
        <v>1000000</v>
      </c>
      <c r="E20" s="5" t="s">
        <v>59</v>
      </c>
      <c r="F20" s="15" t="s">
        <v>52</v>
      </c>
      <c r="G20" s="16" t="s">
        <v>53</v>
      </c>
      <c r="H20" s="6" t="s">
        <v>54</v>
      </c>
    </row>
    <row r="21" customFormat="false" ht="15" hidden="false" customHeight="false" outlineLevel="0" collapsed="false">
      <c r="A21" s="5" t="n">
        <v>13</v>
      </c>
      <c r="B21" s="5" t="s">
        <v>76</v>
      </c>
      <c r="C21" s="6" t="s">
        <v>67</v>
      </c>
      <c r="D21" s="7" t="n">
        <v>3000000</v>
      </c>
      <c r="E21" s="5" t="s">
        <v>59</v>
      </c>
      <c r="F21" s="15" t="s">
        <v>52</v>
      </c>
      <c r="G21" s="16" t="s">
        <v>53</v>
      </c>
      <c r="H21" s="6" t="s">
        <v>54</v>
      </c>
    </row>
    <row r="22" customFormat="false" ht="15" hidden="false" customHeight="false" outlineLevel="0" collapsed="false">
      <c r="A22" s="5" t="n">
        <v>14</v>
      </c>
      <c r="B22" s="5" t="s">
        <v>77</v>
      </c>
      <c r="C22" s="6" t="s">
        <v>67</v>
      </c>
      <c r="D22" s="7" t="n">
        <v>12500000</v>
      </c>
      <c r="E22" s="5" t="s">
        <v>70</v>
      </c>
      <c r="F22" s="15" t="s">
        <v>52</v>
      </c>
      <c r="G22" s="16" t="s">
        <v>53</v>
      </c>
      <c r="H22" s="6" t="s">
        <v>54</v>
      </c>
    </row>
    <row r="23" customFormat="false" ht="15" hidden="false" customHeight="false" outlineLevel="0" collapsed="false">
      <c r="A23" s="9" t="s">
        <v>78</v>
      </c>
      <c r="B23" s="10" t="s">
        <v>79</v>
      </c>
      <c r="C23" s="9"/>
      <c r="D23" s="11" t="n">
        <f aca="false">SUM(D9:D22)</f>
        <v>45500000</v>
      </c>
      <c r="E23" s="9"/>
      <c r="F23" s="9"/>
      <c r="G23" s="9"/>
      <c r="H23" s="9"/>
    </row>
    <row r="25" customFormat="false" ht="12.65" hidden="false" customHeight="false" outlineLevel="0" collapsed="false">
      <c r="A25" s="14" t="s">
        <v>80</v>
      </c>
      <c r="B25" s="14"/>
      <c r="C25" s="14"/>
      <c r="D25" s="14"/>
      <c r="E25" s="14"/>
      <c r="F25" s="14"/>
      <c r="G25" s="14"/>
      <c r="H25" s="14"/>
    </row>
    <row r="26" customFormat="false" ht="15" hidden="false" customHeight="false" outlineLevel="0" collapsed="false">
      <c r="A26" s="5" t="n">
        <v>1</v>
      </c>
      <c r="B26" s="5" t="s">
        <v>81</v>
      </c>
      <c r="C26" s="6" t="s">
        <v>67</v>
      </c>
      <c r="D26" s="7" t="n">
        <v>5000000</v>
      </c>
      <c r="E26" s="5" t="s">
        <v>82</v>
      </c>
      <c r="F26" s="15" t="s">
        <v>52</v>
      </c>
      <c r="G26" s="16" t="s">
        <v>53</v>
      </c>
      <c r="H26" s="6" t="s">
        <v>54</v>
      </c>
    </row>
    <row r="27" customFormat="false" ht="15" hidden="false" customHeight="false" outlineLevel="0" collapsed="false">
      <c r="A27" s="5" t="n">
        <v>2</v>
      </c>
      <c r="B27" s="5" t="s">
        <v>83</v>
      </c>
      <c r="C27" s="6" t="s">
        <v>25</v>
      </c>
      <c r="D27" s="7" t="n">
        <v>1000500</v>
      </c>
      <c r="E27" s="5" t="s">
        <v>84</v>
      </c>
      <c r="F27" s="15" t="s">
        <v>52</v>
      </c>
      <c r="G27" s="16" t="s">
        <v>53</v>
      </c>
      <c r="H27" s="6" t="s">
        <v>54</v>
      </c>
    </row>
    <row r="28" customFormat="false" ht="15" hidden="false" customHeight="false" outlineLevel="0" collapsed="false">
      <c r="A28" s="5" t="n">
        <v>3</v>
      </c>
      <c r="B28" s="5" t="s">
        <v>85</v>
      </c>
      <c r="C28" s="6" t="s">
        <v>65</v>
      </c>
      <c r="D28" s="7" t="n">
        <v>7000500</v>
      </c>
      <c r="E28" s="5" t="s">
        <v>86</v>
      </c>
      <c r="F28" s="15" t="s">
        <v>52</v>
      </c>
      <c r="G28" s="16" t="s">
        <v>53</v>
      </c>
      <c r="H28" s="6" t="s">
        <v>54</v>
      </c>
    </row>
    <row r="29" customFormat="false" ht="15" hidden="false" customHeight="false" outlineLevel="0" collapsed="false">
      <c r="A29" s="5" t="n">
        <v>4</v>
      </c>
      <c r="B29" s="5" t="s">
        <v>87</v>
      </c>
      <c r="C29" s="6" t="s">
        <v>67</v>
      </c>
      <c r="D29" s="7" t="n">
        <v>4000000</v>
      </c>
      <c r="E29" s="5" t="s">
        <v>88</v>
      </c>
      <c r="F29" s="15" t="s">
        <v>52</v>
      </c>
      <c r="G29" s="16" t="s">
        <v>53</v>
      </c>
      <c r="H29" s="6" t="s">
        <v>54</v>
      </c>
    </row>
    <row r="30" customFormat="false" ht="15" hidden="false" customHeight="false" outlineLevel="0" collapsed="false">
      <c r="A30" s="5" t="n">
        <v>5</v>
      </c>
      <c r="B30" s="5" t="s">
        <v>89</v>
      </c>
      <c r="C30" s="6" t="s">
        <v>67</v>
      </c>
      <c r="D30" s="7" t="n">
        <v>4000000</v>
      </c>
      <c r="E30" s="5" t="s">
        <v>88</v>
      </c>
      <c r="F30" s="15" t="s">
        <v>52</v>
      </c>
      <c r="G30" s="16" t="s">
        <v>53</v>
      </c>
      <c r="H30" s="6" t="s">
        <v>54</v>
      </c>
    </row>
    <row r="31" customFormat="false" ht="15" hidden="false" customHeight="false" outlineLevel="0" collapsed="false">
      <c r="A31" s="5" t="n">
        <v>6</v>
      </c>
      <c r="B31" s="5" t="s">
        <v>90</v>
      </c>
      <c r="C31" s="6" t="s">
        <v>67</v>
      </c>
      <c r="D31" s="7" t="n">
        <v>2000500</v>
      </c>
      <c r="E31" s="5" t="s">
        <v>86</v>
      </c>
      <c r="F31" s="15" t="s">
        <v>52</v>
      </c>
      <c r="G31" s="16" t="s">
        <v>53</v>
      </c>
      <c r="H31" s="6" t="s">
        <v>54</v>
      </c>
    </row>
    <row r="32" customFormat="false" ht="15" hidden="false" customHeight="false" outlineLevel="0" collapsed="false">
      <c r="A32" s="5" t="n">
        <v>7</v>
      </c>
      <c r="B32" s="5" t="s">
        <v>91</v>
      </c>
      <c r="C32" s="6" t="s">
        <v>67</v>
      </c>
      <c r="D32" s="7" t="n">
        <v>5000500</v>
      </c>
      <c r="E32" s="5" t="s">
        <v>86</v>
      </c>
      <c r="F32" s="15" t="s">
        <v>52</v>
      </c>
      <c r="G32" s="16" t="s">
        <v>53</v>
      </c>
      <c r="H32" s="6" t="s">
        <v>54</v>
      </c>
    </row>
    <row r="33" customFormat="false" ht="15" hidden="false" customHeight="false" outlineLevel="0" collapsed="false">
      <c r="A33" s="5" t="n">
        <v>8</v>
      </c>
      <c r="B33" s="5" t="s">
        <v>92</v>
      </c>
      <c r="C33" s="6" t="s">
        <v>67</v>
      </c>
      <c r="D33" s="7" t="n">
        <v>15000000</v>
      </c>
      <c r="E33" s="5" t="s">
        <v>88</v>
      </c>
      <c r="F33" s="15" t="s">
        <v>52</v>
      </c>
      <c r="G33" s="16" t="s">
        <v>53</v>
      </c>
      <c r="H33" s="6" t="s">
        <v>54</v>
      </c>
    </row>
    <row r="34" customFormat="false" ht="15" hidden="false" customHeight="false" outlineLevel="0" collapsed="false">
      <c r="A34" s="5" t="n">
        <v>9</v>
      </c>
      <c r="B34" s="5" t="s">
        <v>74</v>
      </c>
      <c r="C34" s="6" t="s">
        <v>67</v>
      </c>
      <c r="D34" s="7" t="n">
        <v>10000000</v>
      </c>
      <c r="E34" s="5" t="s">
        <v>88</v>
      </c>
      <c r="F34" s="15" t="s">
        <v>52</v>
      </c>
      <c r="G34" s="16" t="s">
        <v>53</v>
      </c>
      <c r="H34" s="6" t="s">
        <v>54</v>
      </c>
    </row>
    <row r="35" customFormat="false" ht="15" hidden="false" customHeight="false" outlineLevel="0" collapsed="false">
      <c r="A35" s="5" t="n">
        <v>10</v>
      </c>
      <c r="B35" s="5" t="s">
        <v>93</v>
      </c>
      <c r="C35" s="6" t="s">
        <v>67</v>
      </c>
      <c r="D35" s="7" t="n">
        <v>3000000</v>
      </c>
      <c r="E35" s="5" t="s">
        <v>88</v>
      </c>
      <c r="F35" s="15" t="s">
        <v>52</v>
      </c>
      <c r="G35" s="16" t="s">
        <v>53</v>
      </c>
      <c r="H35" s="6" t="s">
        <v>54</v>
      </c>
    </row>
    <row r="36" customFormat="false" ht="15" hidden="false" customHeight="false" outlineLevel="0" collapsed="false">
      <c r="A36" s="5" t="n">
        <v>11</v>
      </c>
      <c r="B36" s="5" t="s">
        <v>77</v>
      </c>
      <c r="C36" s="6" t="s">
        <v>67</v>
      </c>
      <c r="D36" s="7" t="n">
        <v>21000000</v>
      </c>
      <c r="E36" s="5" t="s">
        <v>88</v>
      </c>
      <c r="F36" s="15" t="s">
        <v>52</v>
      </c>
      <c r="G36" s="16" t="s">
        <v>53</v>
      </c>
      <c r="H36" s="6" t="s">
        <v>54</v>
      </c>
    </row>
    <row r="37" customFormat="false" ht="15" hidden="false" customHeight="false" outlineLevel="0" collapsed="false">
      <c r="A37" s="5" t="n">
        <v>12</v>
      </c>
      <c r="B37" s="5" t="s">
        <v>94</v>
      </c>
      <c r="C37" s="6" t="s">
        <v>67</v>
      </c>
      <c r="D37" s="7" t="n">
        <v>10000500</v>
      </c>
      <c r="E37" s="5" t="s">
        <v>86</v>
      </c>
      <c r="F37" s="15" t="s">
        <v>52</v>
      </c>
      <c r="G37" s="16" t="s">
        <v>53</v>
      </c>
      <c r="H37" s="6" t="s">
        <v>54</v>
      </c>
    </row>
    <row r="38" customFormat="false" ht="15" hidden="false" customHeight="false" outlineLevel="0" collapsed="false">
      <c r="A38" s="5" t="n">
        <v>13</v>
      </c>
      <c r="B38" s="5" t="s">
        <v>95</v>
      </c>
      <c r="C38" s="6" t="s">
        <v>67</v>
      </c>
      <c r="D38" s="7" t="n">
        <v>2916360</v>
      </c>
      <c r="E38" s="5" t="s">
        <v>88</v>
      </c>
      <c r="F38" s="15" t="s">
        <v>52</v>
      </c>
      <c r="G38" s="16" t="s">
        <v>53</v>
      </c>
      <c r="H38" s="6" t="s">
        <v>54</v>
      </c>
    </row>
    <row r="39" customFormat="false" ht="15" hidden="false" customHeight="false" outlineLevel="0" collapsed="false">
      <c r="A39" s="5" t="n">
        <v>14</v>
      </c>
      <c r="B39" s="5" t="s">
        <v>96</v>
      </c>
      <c r="C39" s="6" t="s">
        <v>97</v>
      </c>
      <c r="D39" s="7" t="n">
        <v>4887000</v>
      </c>
      <c r="E39" s="5" t="s">
        <v>98</v>
      </c>
      <c r="F39" s="15" t="s">
        <v>52</v>
      </c>
      <c r="G39" s="16" t="s">
        <v>53</v>
      </c>
      <c r="H39" s="6" t="s">
        <v>99</v>
      </c>
    </row>
    <row r="40" customFormat="false" ht="15" hidden="false" customHeight="false" outlineLevel="0" collapsed="false">
      <c r="A40" s="9" t="s">
        <v>100</v>
      </c>
      <c r="B40" s="10" t="s">
        <v>79</v>
      </c>
      <c r="C40" s="9"/>
      <c r="D40" s="11" t="n">
        <f aca="false">SUM(D26:D39)</f>
        <v>94805860</v>
      </c>
      <c r="E40" s="9"/>
      <c r="F40" s="9"/>
      <c r="G40" s="9"/>
      <c r="H40" s="9"/>
    </row>
    <row r="42" customFormat="false" ht="15" hidden="false" customHeight="false" outlineLevel="0" collapsed="false">
      <c r="A42" s="17" t="s">
        <v>101</v>
      </c>
      <c r="B42" s="17"/>
      <c r="C42" s="17"/>
      <c r="D42" s="18" t="n">
        <f aca="false">D23+D39</f>
        <v>50387000</v>
      </c>
      <c r="E42" s="17"/>
      <c r="F42" s="17" t="s">
        <v>102</v>
      </c>
      <c r="G42" s="17"/>
      <c r="H42" s="17" t="s">
        <v>103</v>
      </c>
    </row>
  </sheetData>
  <mergeCells count="5">
    <mergeCell ref="A1:H1"/>
    <mergeCell ref="A3:H3"/>
    <mergeCell ref="A4:H4"/>
    <mergeCell ref="A8:H8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2026-04-11T12:31:10Z</dcterms:created>
  <dc:creator>openpyxl</dc:creator>
  <dc:description/>
  <dc:language>en-US</dc:language>
  <cp:lastModifiedBy/>
  <dcterms:modified xsi:type="dcterms:W3CDTF">2026-04-11T12:31:10Z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