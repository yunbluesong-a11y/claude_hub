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총괄요약" sheetId="1" state="visible" r:id="rId3"/>
    <sheet name="별지A-1_메인→조대제" sheetId="2" state="visible" r:id="rId4"/>
    <sheet name="별지A-2_메인→김상균" sheetId="3" state="visible" r:id="rId5"/>
    <sheet name="별지A-3_ATM현금인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<sst xmlns="http://schemas.openxmlformats.org/spreadsheetml/2006/main" count="829" uniqueCount="277">
  <si>
    <r>
      <rPr>
        <b val="true"/>
        <sz val="14"/>
        <rFont val="DejaVu Sans"/>
        <family val="2"/>
      </rPr>
      <t xml:space="preserve">별지 </t>
    </r>
    <r>
      <rPr>
        <b val="true"/>
        <sz val="14"/>
        <rFont val="맑은 고딕"/>
        <family val="0"/>
        <charset val="1"/>
      </rPr>
      <t xml:space="preserve">A. </t>
    </r>
    <r>
      <rPr>
        <b val="true"/>
        <sz val="14"/>
        <rFont val="DejaVu Sans"/>
        <family val="2"/>
      </rPr>
      <t xml:space="preserve">법인 메인계좌 → 관리계좌 </t>
    </r>
    <r>
      <rPr>
        <b val="true"/>
        <sz val="14"/>
        <rFont val="맑은 고딕"/>
        <family val="0"/>
        <charset val="1"/>
      </rPr>
      <t xml:space="preserve">1</t>
    </r>
    <r>
      <rPr>
        <b val="true"/>
        <sz val="14"/>
        <rFont val="DejaVu Sans"/>
        <family val="2"/>
      </rPr>
      <t xml:space="preserve">단계 자금이동 총괄</t>
    </r>
  </si>
  <si>
    <r>
      <rPr>
        <b val="true"/>
        <sz val="11"/>
        <rFont val="맑은 고딕"/>
        <family val="0"/>
        <charset val="1"/>
      </rPr>
      <t xml:space="preserve">■ 1</t>
    </r>
    <r>
      <rPr>
        <b val="true"/>
        <sz val="11"/>
        <rFont val="DejaVu Sans"/>
        <family val="2"/>
      </rPr>
      <t xml:space="preserve">단계 자금이동 요약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메인계좌 </t>
    </r>
    <r>
      <rPr>
        <b val="true"/>
        <sz val="11"/>
        <rFont val="맑은 고딕"/>
        <family val="0"/>
        <charset val="1"/>
      </rPr>
      <t xml:space="preserve">22991001907204 → </t>
    </r>
    <r>
      <rPr>
        <b val="true"/>
        <sz val="11"/>
        <rFont val="DejaVu Sans"/>
        <family val="2"/>
      </rPr>
      <t xml:space="preserve">관리계좌</t>
    </r>
    <r>
      <rPr>
        <b val="true"/>
        <sz val="11"/>
        <rFont val="맑은 고딕"/>
        <family val="0"/>
        <charset val="1"/>
      </rPr>
      <t xml:space="preserve">)</t>
    </r>
  </si>
  <si>
    <t xml:space="preserve">구분</t>
  </si>
  <si>
    <t xml:space="preserve">수취계좌</t>
  </si>
  <si>
    <t xml:space="preserve">건수</t>
  </si>
  <si>
    <r>
      <rPr>
        <b val="true"/>
        <sz val="10"/>
        <rFont val="DejaVu Sans"/>
        <family val="2"/>
      </rPr>
      <t xml:space="preserve">합계금액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</si>
  <si>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기간</t>
  </si>
  <si>
    <t xml:space="preserve">비고</t>
  </si>
  <si>
    <t xml:space="preserve">조대제 관리계좌</t>
  </si>
  <si>
    <t xml:space="preserve">22991001751404</t>
  </si>
  <si>
    <t xml:space="preserve">2016-11-18~2019-02-25</t>
  </si>
  <si>
    <t xml:space="preserve">법인명의 관리계좌</t>
  </si>
  <si>
    <t xml:space="preserve">김상균 관리계좌</t>
  </si>
  <si>
    <t xml:space="preserve">22991001951104</t>
  </si>
  <si>
    <t xml:space="preserve">2016-11-10~2019-02-25</t>
  </si>
  <si>
    <r>
      <rPr>
        <sz val="9"/>
        <rFont val="맑은 고딕"/>
        <family val="0"/>
        <charset val="1"/>
      </rPr>
      <t xml:space="preserve">ATM </t>
    </r>
    <r>
      <rPr>
        <sz val="9"/>
        <rFont val="DejaVu Sans"/>
        <family val="2"/>
      </rPr>
      <t xml:space="preserve">현금인출</t>
    </r>
  </si>
  <si>
    <r>
      <rPr>
        <sz val="9"/>
        <rFont val="DejaVu Sans"/>
        <family val="2"/>
      </rPr>
      <t xml:space="preserve">현금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메인계좌</t>
    </r>
    <r>
      <rPr>
        <sz val="9"/>
        <rFont val="맑은 고딕"/>
        <family val="0"/>
        <charset val="1"/>
      </rPr>
      <t xml:space="preserve">)</t>
    </r>
  </si>
  <si>
    <t xml:space="preserve">2016-09-20~2019-02-28</t>
  </si>
  <si>
    <t xml:space="preserve">자동화기기 현금인출</t>
  </si>
  <si>
    <t xml:space="preserve">합계</t>
  </si>
  <si>
    <r>
      <rPr>
        <b val="true"/>
        <sz val="11"/>
        <rFont val="DejaVu Sans"/>
        <family val="2"/>
      </rPr>
      <t xml:space="preserve">■ 관리계좌 지출 분류 </t>
    </r>
    <r>
      <rPr>
        <b val="true"/>
        <sz val="11"/>
        <rFont val="맑은 고딕"/>
        <family val="0"/>
        <charset val="1"/>
      </rPr>
      <t xml:space="preserve">(2</t>
    </r>
    <r>
      <rPr>
        <b val="true"/>
        <sz val="11"/>
        <rFont val="DejaVu Sans"/>
        <family val="2"/>
      </rPr>
      <t xml:space="preserve">단계 자금 사용처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</si>
  <si>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조대제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</si>
  <si>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김상균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</si>
  <si>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합계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</si>
  <si>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범죄일람표 반영</t>
  </si>
  <si>
    <r>
      <rPr>
        <sz val="9"/>
        <rFont val="DejaVu Sans"/>
        <family val="2"/>
      </rPr>
      <t xml:space="preserve">유형</t>
    </r>
    <r>
      <rPr>
        <sz val="9"/>
        <rFont val="맑은 고딕"/>
        <family val="0"/>
        <charset val="1"/>
      </rPr>
      <t xml:space="preserve">1: </t>
    </r>
    <r>
      <rPr>
        <sz val="9"/>
        <rFont val="DejaVu Sans"/>
        <family val="2"/>
      </rPr>
      <t xml:space="preserve">가수금</t>
    </r>
    <r>
      <rPr>
        <sz val="9"/>
        <rFont val="맑은 고딕"/>
        <family val="0"/>
        <charset val="1"/>
      </rPr>
      <t xml:space="preserve">/</t>
    </r>
    <r>
      <rPr>
        <sz val="9"/>
        <rFont val="DejaVu Sans"/>
        <family val="2"/>
      </rPr>
      <t xml:space="preserve">대여금→개인</t>
    </r>
  </si>
  <si>
    <t xml:space="preserve">○</t>
  </si>
  <si>
    <t xml:space="preserve">기존 범죄일람표</t>
  </si>
  <si>
    <r>
      <rPr>
        <sz val="9"/>
        <rFont val="DejaVu Sans"/>
        <family val="2"/>
      </rPr>
      <t xml:space="preserve">유형</t>
    </r>
    <r>
      <rPr>
        <sz val="9"/>
        <rFont val="맑은 고딕"/>
        <family val="0"/>
        <charset val="1"/>
      </rPr>
      <t xml:space="preserve">2: </t>
    </r>
    <r>
      <rPr>
        <sz val="9"/>
        <rFont val="DejaVu Sans"/>
        <family val="2"/>
      </rPr>
      <t xml:space="preserve">차량리스대금</t>
    </r>
  </si>
  <si>
    <r>
      <rPr>
        <sz val="9"/>
        <rFont val="DejaVu Sans"/>
        <family val="2"/>
      </rPr>
      <t xml:space="preserve">유형</t>
    </r>
    <r>
      <rPr>
        <sz val="9"/>
        <rFont val="맑은 고딕"/>
        <family val="0"/>
        <charset val="1"/>
      </rPr>
      <t xml:space="preserve">3</t>
    </r>
    <r>
      <rPr>
        <sz val="9"/>
        <rFont val="DejaVu Sans"/>
        <family val="2"/>
      </rPr>
      <t xml:space="preserve">가</t>
    </r>
    <r>
      <rPr>
        <sz val="9"/>
        <rFont val="맑은 고딕"/>
        <family val="0"/>
        <charset val="1"/>
      </rPr>
      <t xml:space="preserve">: </t>
    </r>
    <r>
      <rPr>
        <sz val="9"/>
        <rFont val="DejaVu Sans"/>
        <family val="2"/>
      </rPr>
      <t xml:space="preserve">유흥업소</t>
    </r>
  </si>
  <si>
    <r>
      <rPr>
        <sz val="9"/>
        <rFont val="DejaVu Sans"/>
        <family val="2"/>
      </rPr>
      <t xml:space="preserve">유형</t>
    </r>
    <r>
      <rPr>
        <sz val="9"/>
        <rFont val="맑은 고딕"/>
        <family val="0"/>
        <charset val="1"/>
      </rPr>
      <t xml:space="preserve">3</t>
    </r>
    <r>
      <rPr>
        <sz val="9"/>
        <rFont val="DejaVu Sans"/>
        <family val="2"/>
      </rPr>
      <t xml:space="preserve">나</t>
    </r>
    <r>
      <rPr>
        <sz val="9"/>
        <rFont val="맑은 고딕"/>
        <family val="0"/>
        <charset val="1"/>
      </rPr>
      <t xml:space="preserve">: </t>
    </r>
    <r>
      <rPr>
        <sz val="9"/>
        <rFont val="DejaVu Sans"/>
        <family val="2"/>
      </rPr>
      <t xml:space="preserve">대리운전</t>
    </r>
  </si>
  <si>
    <r>
      <rPr>
        <sz val="9"/>
        <rFont val="DejaVu Sans"/>
        <family val="2"/>
      </rPr>
      <t xml:space="preserve">체크카드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기타가맹점</t>
    </r>
    <r>
      <rPr>
        <sz val="9"/>
        <rFont val="맑은 고딕"/>
        <family val="0"/>
        <charset val="1"/>
      </rPr>
      <t xml:space="preserve">)</t>
    </r>
  </si>
  <si>
    <t xml:space="preserve">×</t>
  </si>
  <si>
    <t xml:space="preserve">추가 특정 대상</t>
  </si>
  <si>
    <r>
      <rPr>
        <sz val="9"/>
        <rFont val="DejaVu Sans"/>
        <family val="2"/>
      </rPr>
      <t xml:space="preserve">자동이체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리스 외</t>
    </r>
    <r>
      <rPr>
        <sz val="9"/>
        <rFont val="맑은 고딕"/>
        <family val="0"/>
        <charset val="1"/>
      </rPr>
      <t xml:space="preserve">)</t>
    </r>
  </si>
  <si>
    <t xml:space="preserve">소액</t>
  </si>
  <si>
    <t xml:space="preserve">법인계좌 환류</t>
  </si>
  <si>
    <t xml:space="preserve">-</t>
  </si>
  <si>
    <t xml:space="preserve">횡령 미해당</t>
  </si>
  <si>
    <r>
      <rPr>
        <sz val="9"/>
        <rFont val="DejaVu Sans"/>
        <family val="2"/>
      </rPr>
      <t xml:space="preserve">교차이체</t>
    </r>
    <r>
      <rPr>
        <sz val="9"/>
        <rFont val="맑은 고딕"/>
        <family val="0"/>
        <charset val="1"/>
      </rPr>
      <t xml:space="preserve">(</t>
    </r>
    <r>
      <rPr>
        <sz val="9"/>
        <rFont val="DejaVu Sans"/>
        <family val="2"/>
      </rPr>
      <t xml:space="preserve">관리↔관리</t>
    </r>
    <r>
      <rPr>
        <sz val="9"/>
        <rFont val="맑은 고딕"/>
        <family val="0"/>
        <charset val="1"/>
      </rPr>
      <t xml:space="preserve">)</t>
    </r>
  </si>
  <si>
    <t xml:space="preserve">내부 이동</t>
  </si>
  <si>
    <r>
      <rPr>
        <sz val="9"/>
        <rFont val="맑은 고딕"/>
        <family val="0"/>
        <charset val="1"/>
      </rPr>
      <t xml:space="preserve">ATM+</t>
    </r>
    <r>
      <rPr>
        <sz val="9"/>
        <rFont val="DejaVu Sans"/>
        <family val="2"/>
      </rPr>
      <t xml:space="preserve">기타</t>
    </r>
  </si>
  <si>
    <r>
      <rPr>
        <b val="true"/>
        <sz val="12"/>
        <rFont val="DejaVu Sans"/>
        <family val="2"/>
      </rPr>
      <t xml:space="preserve">별지 </t>
    </r>
    <r>
      <rPr>
        <b val="true"/>
        <sz val="12"/>
        <rFont val="맑은 고딕"/>
        <family val="0"/>
        <charset val="1"/>
      </rPr>
      <t xml:space="preserve">A-1. </t>
    </r>
    <r>
      <rPr>
        <b val="true"/>
        <sz val="12"/>
        <rFont val="DejaVu Sans"/>
        <family val="2"/>
      </rPr>
      <t xml:space="preserve">법인 메인계좌 → 조대제 관리계좌 자금이동 내역</t>
    </r>
  </si>
  <si>
    <r>
      <rPr>
        <b val="true"/>
        <sz val="10"/>
        <color rgb="FF333333"/>
        <rFont val="DejaVu Sans"/>
        <family val="2"/>
      </rPr>
      <t xml:space="preserve">출금계좌</t>
    </r>
    <r>
      <rPr>
        <b val="true"/>
        <sz val="10"/>
        <color rgb="FF333333"/>
        <rFont val="맑은 고딕"/>
        <family val="0"/>
        <charset val="1"/>
      </rPr>
      <t xml:space="preserve">: 22991001907204 (</t>
    </r>
    <r>
      <rPr>
        <b val="true"/>
        <sz val="10"/>
        <color rgb="FF333333"/>
        <rFont val="DejaVu Sans"/>
        <family val="2"/>
      </rPr>
      <t xml:space="preserve">법인 메인계좌</t>
    </r>
    <r>
      <rPr>
        <b val="true"/>
        <sz val="10"/>
        <color rgb="FF333333"/>
        <rFont val="맑은 고딕"/>
        <family val="0"/>
        <charset val="1"/>
      </rPr>
      <t xml:space="preserve">) → </t>
    </r>
    <r>
      <rPr>
        <b val="true"/>
        <sz val="10"/>
        <color rgb="FF333333"/>
        <rFont val="DejaVu Sans"/>
        <family val="2"/>
      </rPr>
      <t xml:space="preserve">입금계좌</t>
    </r>
    <r>
      <rPr>
        <b val="true"/>
        <sz val="10"/>
        <color rgb="FF333333"/>
        <rFont val="맑은 고딕"/>
        <family val="0"/>
        <charset val="1"/>
      </rPr>
      <t xml:space="preserve">: 22991001751404 (</t>
    </r>
    <r>
      <rPr>
        <b val="true"/>
        <sz val="10"/>
        <color rgb="FF333333"/>
        <rFont val="DejaVu Sans"/>
        <family val="2"/>
      </rPr>
      <t xml:space="preserve">조대제 관리계좌</t>
    </r>
    <r>
      <rPr>
        <b val="true"/>
        <sz val="10"/>
        <color rgb="FF333333"/>
        <rFont val="맑은 고딕"/>
        <family val="0"/>
        <charset val="1"/>
      </rPr>
      <t xml:space="preserve">)</t>
    </r>
  </si>
  <si>
    <t xml:space="preserve">순번</t>
  </si>
  <si>
    <t xml:space="preserve">거래일자</t>
  </si>
  <si>
    <t xml:space="preserve">거래시각</t>
  </si>
  <si>
    <t xml:space="preserve">적요</t>
  </si>
  <si>
    <r>
      <rPr>
        <b val="true"/>
        <sz val="10"/>
        <rFont val="DejaVu Sans"/>
        <family val="2"/>
      </rPr>
      <t xml:space="preserve">금액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</si>
  <si>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이체후잔액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</si>
  <si>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t xml:space="preserve">거래방법</t>
  </si>
  <si>
    <t xml:space="preserve">2016-11-18</t>
  </si>
  <si>
    <t xml:space="preserve">12:10:00.000000</t>
  </si>
  <si>
    <t xml:space="preserve">법무법인 태율</t>
  </si>
  <si>
    <t xml:space="preserve">당행송금</t>
  </si>
  <si>
    <t xml:space="preserve">2016-11-25</t>
  </si>
  <si>
    <t xml:space="preserve">15:02:00.000000</t>
  </si>
  <si>
    <t xml:space="preserve">2016-12-01</t>
  </si>
  <si>
    <t xml:space="preserve">11:38:00.000000</t>
  </si>
  <si>
    <t xml:space="preserve">2016-12-02</t>
  </si>
  <si>
    <t xml:space="preserve">18:25:00.000000</t>
  </si>
  <si>
    <t xml:space="preserve">2016-12-09</t>
  </si>
  <si>
    <t xml:space="preserve">15:47:00.000000</t>
  </si>
  <si>
    <t xml:space="preserve">2017-01-13</t>
  </si>
  <si>
    <t xml:space="preserve">16:31:00.000000</t>
  </si>
  <si>
    <t xml:space="preserve">2017-01-17</t>
  </si>
  <si>
    <t xml:space="preserve">14:27:00.000000</t>
  </si>
  <si>
    <t xml:space="preserve">2017-01-20</t>
  </si>
  <si>
    <t xml:space="preserve">17:30:00.000000</t>
  </si>
  <si>
    <t xml:space="preserve">2017-01-23</t>
  </si>
  <si>
    <t xml:space="preserve">16:57:00.000000</t>
  </si>
  <si>
    <t xml:space="preserve">2017-01-24</t>
  </si>
  <si>
    <t xml:space="preserve">16:01:00.000000</t>
  </si>
  <si>
    <t xml:space="preserve">2017-02-20</t>
  </si>
  <si>
    <t xml:space="preserve">11:47:00.000000</t>
  </si>
  <si>
    <t xml:space="preserve">2017-03-15</t>
  </si>
  <si>
    <t xml:space="preserve">16:58:00.000000</t>
  </si>
  <si>
    <t xml:space="preserve">2017-03-29</t>
  </si>
  <si>
    <t xml:space="preserve">17:47:00.000000</t>
  </si>
  <si>
    <t xml:space="preserve">2017-03-30</t>
  </si>
  <si>
    <t xml:space="preserve">11:20:00.000000</t>
  </si>
  <si>
    <t xml:space="preserve">2017-03-31</t>
  </si>
  <si>
    <t xml:space="preserve">15:25:00.000000</t>
  </si>
  <si>
    <t xml:space="preserve">2017-04-11</t>
  </si>
  <si>
    <t xml:space="preserve">13:41:00.000000</t>
  </si>
  <si>
    <t xml:space="preserve">2017-04-27</t>
  </si>
  <si>
    <t xml:space="preserve">13:54:00.000000</t>
  </si>
  <si>
    <t xml:space="preserve">2017-05-08</t>
  </si>
  <si>
    <t xml:space="preserve">15:09:00.000000</t>
  </si>
  <si>
    <t xml:space="preserve">2017-05-31</t>
  </si>
  <si>
    <t xml:space="preserve">16:53:00.000000</t>
  </si>
  <si>
    <t xml:space="preserve">2017-06-01</t>
  </si>
  <si>
    <t xml:space="preserve">16:43:00.000000</t>
  </si>
  <si>
    <t xml:space="preserve">2017-06-16</t>
  </si>
  <si>
    <t xml:space="preserve">11:56:00.000000</t>
  </si>
  <si>
    <t xml:space="preserve">2017-06-26</t>
  </si>
  <si>
    <t xml:space="preserve">17:17:00.000000</t>
  </si>
  <si>
    <t xml:space="preserve">2017-07-21</t>
  </si>
  <si>
    <t xml:space="preserve">09:29:00.000000</t>
  </si>
  <si>
    <t xml:space="preserve">13:18:00.000000</t>
  </si>
  <si>
    <t xml:space="preserve">2017-08-07</t>
  </si>
  <si>
    <t xml:space="preserve">17:50:00.000000</t>
  </si>
  <si>
    <t xml:space="preserve">2017-09-01</t>
  </si>
  <si>
    <t xml:space="preserve">13:47:00.000000</t>
  </si>
  <si>
    <t xml:space="preserve">2017-09-14</t>
  </si>
  <si>
    <t xml:space="preserve">16:35:00.000000</t>
  </si>
  <si>
    <t xml:space="preserve">2017-11-10</t>
  </si>
  <si>
    <t xml:space="preserve">16:33:00.000000</t>
  </si>
  <si>
    <t xml:space="preserve">2017-11-16</t>
  </si>
  <si>
    <t xml:space="preserve">14:33:00.000000</t>
  </si>
  <si>
    <t xml:space="preserve">2017-11-27</t>
  </si>
  <si>
    <t xml:space="preserve">10:23:00.000000</t>
  </si>
  <si>
    <t xml:space="preserve">2017-12-22</t>
  </si>
  <si>
    <t xml:space="preserve">14:49:00.000000</t>
  </si>
  <si>
    <t xml:space="preserve">16:11:00.000000</t>
  </si>
  <si>
    <t xml:space="preserve">2018-01-02</t>
  </si>
  <si>
    <t xml:space="preserve">13:37:00.000000</t>
  </si>
  <si>
    <t xml:space="preserve">2018-01-22</t>
  </si>
  <si>
    <t xml:space="preserve">11:53:00.000000</t>
  </si>
  <si>
    <t xml:space="preserve">2018-01-24</t>
  </si>
  <si>
    <t xml:space="preserve">16:50:00.000000</t>
  </si>
  <si>
    <t xml:space="preserve">2018-01-26</t>
  </si>
  <si>
    <t xml:space="preserve">11:30:00.000000</t>
  </si>
  <si>
    <t xml:space="preserve">2018-02-19</t>
  </si>
  <si>
    <t xml:space="preserve">13:33:00.000000</t>
  </si>
  <si>
    <t xml:space="preserve">2018-02-28</t>
  </si>
  <si>
    <t xml:space="preserve">14:26:00.000000</t>
  </si>
  <si>
    <t xml:space="preserve">14:30:00.000000</t>
  </si>
  <si>
    <t xml:space="preserve">18:03:00.000000</t>
  </si>
  <si>
    <t xml:space="preserve">2018-03-06</t>
  </si>
  <si>
    <t xml:space="preserve">11:33:00.000000</t>
  </si>
  <si>
    <t xml:space="preserve">2018-03-26</t>
  </si>
  <si>
    <t xml:space="preserve">14:24:00.000000</t>
  </si>
  <si>
    <t xml:space="preserve">2018-03-30</t>
  </si>
  <si>
    <t xml:space="preserve">11:50:00.000000</t>
  </si>
  <si>
    <t xml:space="preserve">2018-04-09</t>
  </si>
  <si>
    <t xml:space="preserve">14:01:00.000000</t>
  </si>
  <si>
    <t xml:space="preserve">2018-04-17</t>
  </si>
  <si>
    <t xml:space="preserve">14:19:00.000000</t>
  </si>
  <si>
    <t xml:space="preserve">2018-04-30</t>
  </si>
  <si>
    <t xml:space="preserve">14:10:00.000000</t>
  </si>
  <si>
    <t xml:space="preserve">2018-06-11</t>
  </si>
  <si>
    <t xml:space="preserve">17:35:00.000000</t>
  </si>
  <si>
    <t xml:space="preserve">2018-06-28</t>
  </si>
  <si>
    <t xml:space="preserve">17:20:00.000000</t>
  </si>
  <si>
    <t xml:space="preserve">2018-07-03</t>
  </si>
  <si>
    <t xml:space="preserve">09:31:00.000000</t>
  </si>
  <si>
    <t xml:space="preserve">2018-08-22</t>
  </si>
  <si>
    <t xml:space="preserve">13:09:00.000000</t>
  </si>
  <si>
    <t xml:space="preserve">2018-08-23</t>
  </si>
  <si>
    <t xml:space="preserve">12:58:00.000000</t>
  </si>
  <si>
    <t xml:space="preserve">2018-08-30</t>
  </si>
  <si>
    <t xml:space="preserve">13:56:00.000000</t>
  </si>
  <si>
    <t xml:space="preserve">2018-11-12</t>
  </si>
  <si>
    <t xml:space="preserve">16:23</t>
  </si>
  <si>
    <t xml:space="preserve">2018-11-28</t>
  </si>
  <si>
    <t xml:space="preserve">17:07:00.000000</t>
  </si>
  <si>
    <t xml:space="preserve">2018-12-14</t>
  </si>
  <si>
    <t xml:space="preserve">13:40:00.000000</t>
  </si>
  <si>
    <t xml:space="preserve">2018-12-24</t>
  </si>
  <si>
    <t xml:space="preserve">2018-12-31</t>
  </si>
  <si>
    <t xml:space="preserve">17:04:00.000000</t>
  </si>
  <si>
    <t xml:space="preserve">2019-02-15</t>
  </si>
  <si>
    <t xml:space="preserve">12:56:00.000000</t>
  </si>
  <si>
    <t xml:space="preserve">2019-02-25</t>
  </si>
  <si>
    <t xml:space="preserve">14:42:00.000000</t>
  </si>
  <si>
    <r>
      <rPr>
        <b val="true"/>
        <sz val="10"/>
        <rFont val="맑은 고딕"/>
        <family val="0"/>
        <charset val="1"/>
      </rPr>
      <t xml:space="preserve">59</t>
    </r>
    <r>
      <rPr>
        <b val="true"/>
        <sz val="10"/>
        <rFont val="DejaVu Sans"/>
        <family val="2"/>
      </rPr>
      <t xml:space="preserve">건</t>
    </r>
  </si>
  <si>
    <r>
      <rPr>
        <b val="true"/>
        <sz val="12"/>
        <rFont val="DejaVu Sans"/>
        <family val="2"/>
      </rPr>
      <t xml:space="preserve">별지 </t>
    </r>
    <r>
      <rPr>
        <b val="true"/>
        <sz val="12"/>
        <rFont val="맑은 고딕"/>
        <family val="0"/>
        <charset val="1"/>
      </rPr>
      <t xml:space="preserve">A-2. </t>
    </r>
    <r>
      <rPr>
        <b val="true"/>
        <sz val="12"/>
        <rFont val="DejaVu Sans"/>
        <family val="2"/>
      </rPr>
      <t xml:space="preserve">법인 메인계좌 → 김상균 관리계좌 자금이동 내역</t>
    </r>
  </si>
  <si>
    <r>
      <rPr>
        <b val="true"/>
        <sz val="10"/>
        <color rgb="FF333333"/>
        <rFont val="DejaVu Sans"/>
        <family val="2"/>
      </rPr>
      <t xml:space="preserve">출금계좌</t>
    </r>
    <r>
      <rPr>
        <b val="true"/>
        <sz val="10"/>
        <color rgb="FF333333"/>
        <rFont val="맑은 고딕"/>
        <family val="0"/>
        <charset val="1"/>
      </rPr>
      <t xml:space="preserve">: 22991001907204 (</t>
    </r>
    <r>
      <rPr>
        <b val="true"/>
        <sz val="10"/>
        <color rgb="FF333333"/>
        <rFont val="DejaVu Sans"/>
        <family val="2"/>
      </rPr>
      <t xml:space="preserve">법인 메인계좌</t>
    </r>
    <r>
      <rPr>
        <b val="true"/>
        <sz val="10"/>
        <color rgb="FF333333"/>
        <rFont val="맑은 고딕"/>
        <family val="0"/>
        <charset val="1"/>
      </rPr>
      <t xml:space="preserve">) → </t>
    </r>
    <r>
      <rPr>
        <b val="true"/>
        <sz val="10"/>
        <color rgb="FF333333"/>
        <rFont val="DejaVu Sans"/>
        <family val="2"/>
      </rPr>
      <t xml:space="preserve">입금계좌</t>
    </r>
    <r>
      <rPr>
        <b val="true"/>
        <sz val="10"/>
        <color rgb="FF333333"/>
        <rFont val="맑은 고딕"/>
        <family val="0"/>
        <charset val="1"/>
      </rPr>
      <t xml:space="preserve">: 22991001951104 (</t>
    </r>
    <r>
      <rPr>
        <b val="true"/>
        <sz val="10"/>
        <color rgb="FF333333"/>
        <rFont val="DejaVu Sans"/>
        <family val="2"/>
      </rPr>
      <t xml:space="preserve">김상균 관리계좌</t>
    </r>
    <r>
      <rPr>
        <b val="true"/>
        <sz val="10"/>
        <color rgb="FF333333"/>
        <rFont val="맑은 고딕"/>
        <family val="0"/>
        <charset val="1"/>
      </rPr>
      <t xml:space="preserve">)</t>
    </r>
  </si>
  <si>
    <t xml:space="preserve">2016-11-10</t>
  </si>
  <si>
    <t xml:space="preserve">15:28:00.000000</t>
  </si>
  <si>
    <t xml:space="preserve">12:11:00.000000</t>
  </si>
  <si>
    <t xml:space="preserve">2017-08-14</t>
  </si>
  <si>
    <t xml:space="preserve">17:39:00.000000</t>
  </si>
  <si>
    <t xml:space="preserve">2018-06-14</t>
  </si>
  <si>
    <t xml:space="preserve">14:34:00.000000</t>
  </si>
  <si>
    <t xml:space="preserve">14:38:00.000000</t>
  </si>
  <si>
    <t xml:space="preserve">2018-11-16</t>
  </si>
  <si>
    <t xml:space="preserve">11:47</t>
  </si>
  <si>
    <r>
      <rPr>
        <b val="true"/>
        <sz val="10"/>
        <rFont val="맑은 고딕"/>
        <family val="0"/>
        <charset val="1"/>
      </rPr>
      <t xml:space="preserve">64</t>
    </r>
    <r>
      <rPr>
        <b val="true"/>
        <sz val="10"/>
        <rFont val="DejaVu Sans"/>
        <family val="2"/>
      </rPr>
      <t xml:space="preserve">건</t>
    </r>
  </si>
  <si>
    <r>
      <rPr>
        <b val="true"/>
        <sz val="12"/>
        <rFont val="DejaVu Sans"/>
        <family val="2"/>
      </rPr>
      <t xml:space="preserve">별지 </t>
    </r>
    <r>
      <rPr>
        <b val="true"/>
        <sz val="12"/>
        <rFont val="맑은 고딕"/>
        <family val="0"/>
        <charset val="1"/>
      </rPr>
      <t xml:space="preserve">A-3. </t>
    </r>
    <r>
      <rPr>
        <b val="true"/>
        <sz val="12"/>
        <rFont val="DejaVu Sans"/>
        <family val="2"/>
      </rPr>
      <t xml:space="preserve">법인 메인계좌 </t>
    </r>
    <r>
      <rPr>
        <b val="true"/>
        <sz val="12"/>
        <rFont val="맑은 고딕"/>
        <family val="0"/>
        <charset val="1"/>
      </rPr>
      <t xml:space="preserve">ATM </t>
    </r>
    <r>
      <rPr>
        <b val="true"/>
        <sz val="12"/>
        <rFont val="DejaVu Sans"/>
        <family val="2"/>
      </rPr>
      <t xml:space="preserve">현금인출 내역</t>
    </r>
  </si>
  <si>
    <r>
      <rPr>
        <b val="true"/>
        <sz val="10"/>
        <color rgb="FF333333"/>
        <rFont val="DejaVu Sans"/>
        <family val="2"/>
      </rPr>
      <t xml:space="preserve">출금계좌</t>
    </r>
    <r>
      <rPr>
        <b val="true"/>
        <sz val="10"/>
        <color rgb="FF333333"/>
        <rFont val="맑은 고딕"/>
        <family val="0"/>
        <charset val="1"/>
      </rPr>
      <t xml:space="preserve">: 22991001907204 (</t>
    </r>
    <r>
      <rPr>
        <b val="true"/>
        <sz val="10"/>
        <color rgb="FF333333"/>
        <rFont val="DejaVu Sans"/>
        <family val="2"/>
      </rPr>
      <t xml:space="preserve">법인 메인계좌</t>
    </r>
    <r>
      <rPr>
        <b val="true"/>
        <sz val="10"/>
        <color rgb="FF333333"/>
        <rFont val="맑은 고딕"/>
        <family val="0"/>
        <charset val="1"/>
      </rPr>
      <t xml:space="preserve">)</t>
    </r>
  </si>
  <si>
    <t xml:space="preserve">2016-09-20</t>
  </si>
  <si>
    <t xml:space="preserve">15:08:00.000000</t>
  </si>
  <si>
    <t xml:space="preserve">공동시재</t>
  </si>
  <si>
    <t xml:space="preserve">현금</t>
  </si>
  <si>
    <t xml:space="preserve">2016-10-19</t>
  </si>
  <si>
    <t xml:space="preserve">14:28:00.000000</t>
  </si>
  <si>
    <t xml:space="preserve">2016-11-30</t>
  </si>
  <si>
    <t xml:space="preserve">14:41:00.000000</t>
  </si>
  <si>
    <t xml:space="preserve">청소비</t>
  </si>
  <si>
    <t xml:space="preserve">2016-12-16</t>
  </si>
  <si>
    <t xml:space="preserve">14:51:00.000000</t>
  </si>
  <si>
    <t xml:space="preserve">시재</t>
  </si>
  <si>
    <t xml:space="preserve">2016-12-21</t>
  </si>
  <si>
    <t xml:space="preserve">2016-12-30</t>
  </si>
  <si>
    <t xml:space="preserve">14:06:00.000000</t>
  </si>
  <si>
    <t xml:space="preserve">2017-01-31</t>
  </si>
  <si>
    <t xml:space="preserve">2017-02-01</t>
  </si>
  <si>
    <t xml:space="preserve">12:59:00.000000</t>
  </si>
  <si>
    <t xml:space="preserve">이병철인지송달</t>
  </si>
  <si>
    <t xml:space="preserve">2017-02-09</t>
  </si>
  <si>
    <t xml:space="preserve">13:53:00.000000</t>
  </si>
  <si>
    <t xml:space="preserve">13:57:00.000000</t>
  </si>
  <si>
    <t xml:space="preserve">조변팀시재</t>
  </si>
  <si>
    <t xml:space="preserve">2017-02-28</t>
  </si>
  <si>
    <t xml:space="preserve">10:12:00.000000</t>
  </si>
  <si>
    <t xml:space="preserve">2017-03-10</t>
  </si>
  <si>
    <t xml:space="preserve">13:16:00.000000</t>
  </si>
  <si>
    <t xml:space="preserve">13:17:00.000000</t>
  </si>
  <si>
    <t xml:space="preserve">2017-04-28</t>
  </si>
  <si>
    <t xml:space="preserve">2017-05-19</t>
  </si>
  <si>
    <t xml:space="preserve">14:07:00.000000</t>
  </si>
  <si>
    <t xml:space="preserve">13:35:00.000000</t>
  </si>
  <si>
    <t xml:space="preserve">2017-06-07</t>
  </si>
  <si>
    <t xml:space="preserve">조변팀 시재</t>
  </si>
  <si>
    <t xml:space="preserve">2017-06-30</t>
  </si>
  <si>
    <t xml:space="preserve">13:22:00.000000</t>
  </si>
  <si>
    <t xml:space="preserve">2017-07-06</t>
  </si>
  <si>
    <t xml:space="preserve">2017-07-28</t>
  </si>
  <si>
    <t xml:space="preserve">14:16:00.000000</t>
  </si>
  <si>
    <t xml:space="preserve">2017-08-21</t>
  </si>
  <si>
    <t xml:space="preserve">13:58:00.000000</t>
  </si>
  <si>
    <t xml:space="preserve">2017-08-31</t>
  </si>
  <si>
    <t xml:space="preserve">15:15:00.000000</t>
  </si>
  <si>
    <t xml:space="preserve">법인주민세</t>
  </si>
  <si>
    <t xml:space="preserve">15:17:00.000000</t>
  </si>
  <si>
    <t xml:space="preserve">2017-09-29</t>
  </si>
  <si>
    <t xml:space="preserve">11:17:00.000000</t>
  </si>
  <si>
    <t xml:space="preserve">2017-10-20</t>
  </si>
  <si>
    <t xml:space="preserve">14:23:00.000000</t>
  </si>
  <si>
    <t xml:space="preserve">2017-10-31</t>
  </si>
  <si>
    <t xml:space="preserve">14:39:00.000000</t>
  </si>
  <si>
    <t xml:space="preserve">2017-11-24</t>
  </si>
  <si>
    <t xml:space="preserve">2017-11-30</t>
  </si>
  <si>
    <t xml:space="preserve">13:15:00.000000</t>
  </si>
  <si>
    <t xml:space="preserve">2017-12-28</t>
  </si>
  <si>
    <t xml:space="preserve">13:43:00.000000</t>
  </si>
  <si>
    <t xml:space="preserve">2018-01-31</t>
  </si>
  <si>
    <t xml:space="preserve">13:28:00.000000</t>
  </si>
  <si>
    <t xml:space="preserve">13:29:00.000000</t>
  </si>
  <si>
    <t xml:space="preserve">2018-02-12</t>
  </si>
  <si>
    <t xml:space="preserve">09:53:00.000000</t>
  </si>
  <si>
    <t xml:space="preserve">13:26:00.000000</t>
  </si>
  <si>
    <t xml:space="preserve">13:27:00.000000</t>
  </si>
  <si>
    <t xml:space="preserve">13:13:00.000000</t>
  </si>
  <si>
    <t xml:space="preserve">2018-05-08</t>
  </si>
  <si>
    <t xml:space="preserve">09:43:00.000000</t>
  </si>
  <si>
    <t xml:space="preserve">변팀시재</t>
  </si>
  <si>
    <t xml:space="preserve">2018-05-31</t>
  </si>
  <si>
    <t xml:space="preserve">12:44:00.000000</t>
  </si>
  <si>
    <t xml:space="preserve">2018-06-18</t>
  </si>
  <si>
    <t xml:space="preserve">14:40:00.000000</t>
  </si>
  <si>
    <t xml:space="preserve">13:11:00.000000</t>
  </si>
  <si>
    <t xml:space="preserve">조대제가수금반</t>
  </si>
  <si>
    <t xml:space="preserve">13:12:00.000000</t>
  </si>
  <si>
    <t xml:space="preserve">김상균가수금반</t>
  </si>
  <si>
    <t xml:space="preserve">2018-06-29</t>
  </si>
  <si>
    <t xml:space="preserve">12:34:00.000000</t>
  </si>
  <si>
    <t xml:space="preserve">2018-08-31</t>
  </si>
  <si>
    <t xml:space="preserve">12:52:00.000000</t>
  </si>
  <si>
    <t xml:space="preserve">12:53:00.000000</t>
  </si>
  <si>
    <t xml:space="preserve">2018-10-19</t>
  </si>
  <si>
    <t xml:space="preserve">13:05:00.000000</t>
  </si>
  <si>
    <t xml:space="preserve">2018-10-31</t>
  </si>
  <si>
    <t xml:space="preserve">13:50:00.000000</t>
  </si>
  <si>
    <t xml:space="preserve">14:11:00.000000</t>
  </si>
  <si>
    <t xml:space="preserve">14:12:00.000000</t>
  </si>
  <si>
    <t xml:space="preserve">2018-12-10</t>
  </si>
  <si>
    <t xml:space="preserve">14:29:00.000000</t>
  </si>
  <si>
    <t xml:space="preserve">12:43:00.000000</t>
  </si>
  <si>
    <t xml:space="preserve">2019-01-31</t>
  </si>
  <si>
    <t xml:space="preserve">12:54:00.000000</t>
  </si>
  <si>
    <t xml:space="preserve">12:55:00.000000</t>
  </si>
  <si>
    <t xml:space="preserve">2019-02-28</t>
  </si>
  <si>
    <t xml:space="preserve">15:57:00.000000</t>
  </si>
  <si>
    <r>
      <rPr>
        <b val="true"/>
        <sz val="10"/>
        <rFont val="맑은 고딕"/>
        <family val="0"/>
        <charset val="1"/>
      </rPr>
      <t xml:space="preserve">63</t>
    </r>
    <r>
      <rPr>
        <b val="true"/>
        <sz val="10"/>
        <rFont val="DejaVu Sans"/>
        <family val="2"/>
      </rPr>
      <t xml:space="preserve">건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</si>
</sst>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DejaVu Sans"/>
      <family val="2"/>
    </font>
    <font>
      <b val="true"/>
      <sz val="14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1"/>
      <name val="DejaVu Sans"/>
      <family val="2"/>
    </font>
    <font>
      <b val="true"/>
      <sz val="10"/>
      <name val="DejaVu Sans"/>
      <family val="2"/>
    </font>
    <font>
      <b val="true"/>
      <sz val="10"/>
      <name val="맑은 고딕"/>
      <family val="0"/>
      <charset val="1"/>
    </font>
    <font>
      <sz val="9"/>
      <name val="DejaVu Sans"/>
      <family val="2"/>
    </font>
    <font>
      <sz val="9"/>
      <name val="맑은 고딕"/>
      <family val="0"/>
      <charset val="1"/>
    </font>
    <font>
      <b val="true"/>
      <sz val="12"/>
      <name val="DejaVu Sans"/>
      <family val="2"/>
    </font>
    <font>
      <b val="true"/>
      <sz val="12"/>
      <name val="맑은 고딕"/>
      <family val="0"/>
      <charset val="1"/>
    </font>
    <font>
      <b val="true"/>
      <sz val="10"/>
      <color rgb="FF333333"/>
      <name val="DejaVu Sans"/>
      <family val="2"/>
    </font>
    <font>
      <b val="true"/>
      <sz val="10"/>
      <color rgb="FF333333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4.9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4" t="n">
        <v>59</v>
      </c>
      <c r="D6" s="6" t="n">
        <f aca="false">'별지A-1_메인→조대제'!E64</f>
        <v>190155010</v>
      </c>
      <c r="E6" s="5" t="s">
        <v>10</v>
      </c>
      <c r="F6" s="4" t="s">
        <v>11</v>
      </c>
    </row>
    <row r="7" customFormat="false" ht="15" hidden="false" customHeight="false" outlineLevel="0" collapsed="false">
      <c r="A7" s="4" t="s">
        <v>12</v>
      </c>
      <c r="B7" s="5" t="s">
        <v>13</v>
      </c>
      <c r="C7" s="4" t="n">
        <v>64</v>
      </c>
      <c r="D7" s="6" t="n">
        <f aca="false">'별지A-2_메인→김상균'!E69</f>
        <v>203937190</v>
      </c>
      <c r="E7" s="5" t="s">
        <v>14</v>
      </c>
      <c r="F7" s="4" t="s">
        <v>11</v>
      </c>
    </row>
    <row r="8" customFormat="false" ht="15" hidden="false" customHeight="false" outlineLevel="0" collapsed="false">
      <c r="A8" s="5" t="s">
        <v>15</v>
      </c>
      <c r="B8" s="4" t="s">
        <v>16</v>
      </c>
      <c r="C8" s="4" t="n">
        <v>63</v>
      </c>
      <c r="D8" s="6" t="n">
        <f aca="false">'별지A-3_ATM현금인출'!E68</f>
        <v>52443204</v>
      </c>
      <c r="E8" s="5" t="s">
        <v>17</v>
      </c>
      <c r="F8" s="4" t="s">
        <v>18</v>
      </c>
    </row>
    <row r="9" customFormat="false" ht="15" hidden="false" customHeight="false" outlineLevel="0" collapsed="false">
      <c r="A9" s="7" t="s">
        <v>19</v>
      </c>
      <c r="B9" s="7"/>
      <c r="C9" s="7" t="n">
        <f aca="false">SUM(C6:C8)</f>
        <v>186</v>
      </c>
      <c r="D9" s="8" t="n">
        <f aca="false">SUM(D6:D8)</f>
        <v>446535404</v>
      </c>
      <c r="E9" s="7"/>
      <c r="F9" s="7"/>
    </row>
    <row r="11" customFormat="false" ht="14.9" hidden="false" customHeight="false" outlineLevel="0" collapsed="false">
      <c r="A11" s="9" t="s">
        <v>20</v>
      </c>
      <c r="B11" s="9"/>
      <c r="C11" s="9"/>
      <c r="D11" s="9"/>
      <c r="E11" s="9"/>
      <c r="F11" s="9"/>
    </row>
    <row r="13" customFormat="false" ht="15" hidden="false" customHeight="false" outlineLevel="0" collapsed="false">
      <c r="A13" s="3" t="s">
        <v>2</v>
      </c>
      <c r="B13" s="3" t="s">
        <v>21</v>
      </c>
      <c r="C13" s="3" t="s">
        <v>22</v>
      </c>
      <c r="D13" s="3" t="s">
        <v>23</v>
      </c>
      <c r="E13" s="3" t="s">
        <v>24</v>
      </c>
      <c r="F13" s="3" t="s">
        <v>7</v>
      </c>
    </row>
    <row r="14" customFormat="false" ht="15" hidden="false" customHeight="false" outlineLevel="0" collapsed="false">
      <c r="A14" s="4" t="s">
        <v>25</v>
      </c>
      <c r="B14" s="6" t="n">
        <v>46600000</v>
      </c>
      <c r="C14" s="6" t="n">
        <v>94805860</v>
      </c>
      <c r="D14" s="6" t="n">
        <f aca="false">B14+C14</f>
        <v>141405860</v>
      </c>
      <c r="E14" s="5" t="s">
        <v>26</v>
      </c>
      <c r="F14" s="4" t="s">
        <v>27</v>
      </c>
    </row>
    <row r="15" customFormat="false" ht="15" hidden="false" customHeight="false" outlineLevel="0" collapsed="false">
      <c r="A15" s="4" t="s">
        <v>28</v>
      </c>
      <c r="B15" s="6" t="n">
        <v>33265672</v>
      </c>
      <c r="C15" s="6" t="n">
        <v>61507148</v>
      </c>
      <c r="D15" s="6" t="n">
        <f aca="false">B15+C15</f>
        <v>94772820</v>
      </c>
      <c r="E15" s="5" t="s">
        <v>26</v>
      </c>
      <c r="F15" s="4" t="s">
        <v>27</v>
      </c>
    </row>
    <row r="16" customFormat="false" ht="15" hidden="false" customHeight="false" outlineLevel="0" collapsed="false">
      <c r="A16" s="4" t="s">
        <v>29</v>
      </c>
      <c r="B16" s="6" t="n">
        <v>30166000</v>
      </c>
      <c r="C16" s="6" t="n">
        <v>22380600</v>
      </c>
      <c r="D16" s="6" t="n">
        <f aca="false">B16+C16</f>
        <v>52546600</v>
      </c>
      <c r="E16" s="5" t="s">
        <v>26</v>
      </c>
      <c r="F16" s="4" t="s">
        <v>27</v>
      </c>
    </row>
    <row r="17" customFormat="false" ht="15" hidden="false" customHeight="false" outlineLevel="0" collapsed="false">
      <c r="A17" s="4" t="s">
        <v>30</v>
      </c>
      <c r="B17" s="6" t="n">
        <v>2064120</v>
      </c>
      <c r="C17" s="6" t="n">
        <v>7485780</v>
      </c>
      <c r="D17" s="6" t="n">
        <f aca="false">B17+C17</f>
        <v>9549900</v>
      </c>
      <c r="E17" s="5" t="s">
        <v>26</v>
      </c>
      <c r="F17" s="4" t="s">
        <v>27</v>
      </c>
    </row>
    <row r="18" customFormat="false" ht="15" hidden="false" customHeight="false" outlineLevel="0" collapsed="false">
      <c r="A18" s="4" t="s">
        <v>31</v>
      </c>
      <c r="B18" s="6" t="n">
        <v>47418836</v>
      </c>
      <c r="C18" s="6" t="n">
        <v>70895149</v>
      </c>
      <c r="D18" s="6" t="n">
        <f aca="false">B18+C18</f>
        <v>118313985</v>
      </c>
      <c r="E18" s="5" t="s">
        <v>32</v>
      </c>
      <c r="F18" s="4" t="s">
        <v>33</v>
      </c>
    </row>
    <row r="19" customFormat="false" ht="15" hidden="false" customHeight="false" outlineLevel="0" collapsed="false">
      <c r="A19" s="4" t="s">
        <v>34</v>
      </c>
      <c r="B19" s="6" t="n">
        <v>107000</v>
      </c>
      <c r="C19" s="6" t="n">
        <v>0</v>
      </c>
      <c r="D19" s="6" t="n">
        <f aca="false">B19+C19</f>
        <v>107000</v>
      </c>
      <c r="E19" s="5" t="s">
        <v>32</v>
      </c>
      <c r="F19" s="4" t="s">
        <v>35</v>
      </c>
    </row>
    <row r="20" customFormat="false" ht="15" hidden="false" customHeight="false" outlineLevel="0" collapsed="false">
      <c r="A20" s="4" t="s">
        <v>36</v>
      </c>
      <c r="B20" s="6" t="n">
        <v>68790480</v>
      </c>
      <c r="C20" s="6" t="n">
        <v>21749670</v>
      </c>
      <c r="D20" s="6" t="n">
        <f aca="false">B20+C20</f>
        <v>90540150</v>
      </c>
      <c r="E20" s="5" t="s">
        <v>37</v>
      </c>
      <c r="F20" s="4" t="s">
        <v>38</v>
      </c>
    </row>
    <row r="21" customFormat="false" ht="15" hidden="false" customHeight="false" outlineLevel="0" collapsed="false">
      <c r="A21" s="4" t="s">
        <v>39</v>
      </c>
      <c r="B21" s="6" t="n">
        <v>45302000</v>
      </c>
      <c r="C21" s="6" t="n">
        <v>9047700</v>
      </c>
      <c r="D21" s="6" t="n">
        <f aca="false">B21+C21</f>
        <v>54349700</v>
      </c>
      <c r="E21" s="5" t="s">
        <v>37</v>
      </c>
      <c r="F21" s="4" t="s">
        <v>40</v>
      </c>
    </row>
    <row r="22" customFormat="false" ht="15" hidden="false" customHeight="false" outlineLevel="0" collapsed="false">
      <c r="A22" s="5" t="s">
        <v>41</v>
      </c>
      <c r="B22" s="6" t="n">
        <v>1244520</v>
      </c>
      <c r="C22" s="6" t="n">
        <v>1313910</v>
      </c>
      <c r="D22" s="6" t="n">
        <f aca="false">B22+C22</f>
        <v>2558430</v>
      </c>
      <c r="E22" s="5" t="s">
        <v>32</v>
      </c>
      <c r="F22" s="4" t="s">
        <v>35</v>
      </c>
    </row>
    <row r="23" customFormat="false" ht="15" hidden="false" customHeight="false" outlineLevel="0" collapsed="false">
      <c r="A23" s="7" t="s">
        <v>19</v>
      </c>
      <c r="B23" s="8" t="n">
        <f aca="false">SUM(B14:B22)</f>
        <v>274958628</v>
      </c>
      <c r="C23" s="8" t="n">
        <f aca="false">SUM(C14:C22)</f>
        <v>289185817</v>
      </c>
      <c r="D23" s="8" t="n">
        <f aca="false">SUM(D14:D22)</f>
        <v>564144445</v>
      </c>
      <c r="E23" s="7"/>
      <c r="F23" s="7"/>
    </row>
  </sheetData>
  <mergeCells count="3">
    <mergeCell ref="A1:F1"/>
    <mergeCell ref="A3:F3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0" t="s">
        <v>42</v>
      </c>
      <c r="B1" s="10"/>
      <c r="C1" s="10"/>
      <c r="D1" s="10"/>
      <c r="E1" s="10"/>
      <c r="F1" s="10"/>
      <c r="G1" s="10"/>
    </row>
    <row r="2" customFormat="false" ht="12.65" hidden="false" customHeight="false" outlineLevel="0" collapsed="false">
      <c r="A2" s="11" t="s">
        <v>43</v>
      </c>
      <c r="B2" s="11"/>
      <c r="C2" s="11"/>
      <c r="D2" s="11"/>
      <c r="E2" s="11"/>
      <c r="F2" s="11"/>
      <c r="G2" s="11"/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</row>
    <row r="5" customFormat="false" ht="15" hidden="false" customHeight="false" outlineLevel="0" collapsed="false">
      <c r="A5" s="4" t="n">
        <v>1</v>
      </c>
      <c r="B5" s="5" t="s">
        <v>51</v>
      </c>
      <c r="C5" s="5" t="s">
        <v>52</v>
      </c>
      <c r="D5" s="4" t="s">
        <v>53</v>
      </c>
      <c r="E5" s="6" t="n">
        <v>3558750</v>
      </c>
      <c r="F5" s="6" t="n">
        <v>11653731</v>
      </c>
      <c r="G5" s="4" t="s">
        <v>54</v>
      </c>
    </row>
    <row r="6" customFormat="false" ht="15" hidden="false" customHeight="false" outlineLevel="0" collapsed="false">
      <c r="A6" s="4" t="n">
        <v>2</v>
      </c>
      <c r="B6" s="5" t="s">
        <v>55</v>
      </c>
      <c r="C6" s="5" t="s">
        <v>56</v>
      </c>
      <c r="D6" s="4" t="s">
        <v>53</v>
      </c>
      <c r="E6" s="6" t="n">
        <v>492500</v>
      </c>
      <c r="F6" s="6" t="n">
        <v>9420731</v>
      </c>
      <c r="G6" s="4" t="s">
        <v>54</v>
      </c>
    </row>
    <row r="7" customFormat="false" ht="15" hidden="false" customHeight="false" outlineLevel="0" collapsed="false">
      <c r="A7" s="4" t="n">
        <v>3</v>
      </c>
      <c r="B7" s="5" t="s">
        <v>57</v>
      </c>
      <c r="C7" s="5" t="s">
        <v>58</v>
      </c>
      <c r="D7" s="4" t="s">
        <v>53</v>
      </c>
      <c r="E7" s="6" t="n">
        <v>2000000</v>
      </c>
      <c r="F7" s="6" t="n">
        <v>7867931</v>
      </c>
      <c r="G7" s="4" t="s">
        <v>54</v>
      </c>
    </row>
    <row r="8" customFormat="false" ht="15" hidden="false" customHeight="false" outlineLevel="0" collapsed="false">
      <c r="A8" s="4" t="n">
        <v>4</v>
      </c>
      <c r="B8" s="5" t="s">
        <v>59</v>
      </c>
      <c r="C8" s="5" t="s">
        <v>60</v>
      </c>
      <c r="D8" s="4" t="s">
        <v>53</v>
      </c>
      <c r="E8" s="6" t="n">
        <v>2000000</v>
      </c>
      <c r="F8" s="6" t="n">
        <v>10811331</v>
      </c>
      <c r="G8" s="4" t="s">
        <v>54</v>
      </c>
    </row>
    <row r="9" customFormat="false" ht="15" hidden="false" customHeight="false" outlineLevel="0" collapsed="false">
      <c r="A9" s="4" t="n">
        <v>5</v>
      </c>
      <c r="B9" s="5" t="s">
        <v>61</v>
      </c>
      <c r="C9" s="5" t="s">
        <v>62</v>
      </c>
      <c r="D9" s="4" t="s">
        <v>53</v>
      </c>
      <c r="E9" s="6" t="n">
        <v>985000</v>
      </c>
      <c r="F9" s="6" t="n">
        <v>10004394</v>
      </c>
      <c r="G9" s="4" t="s">
        <v>54</v>
      </c>
    </row>
    <row r="10" customFormat="false" ht="15" hidden="false" customHeight="false" outlineLevel="0" collapsed="false">
      <c r="A10" s="4" t="n">
        <v>6</v>
      </c>
      <c r="B10" s="5" t="s">
        <v>63</v>
      </c>
      <c r="C10" s="5" t="s">
        <v>64</v>
      </c>
      <c r="D10" s="4" t="s">
        <v>53</v>
      </c>
      <c r="E10" s="6" t="n">
        <v>5500000</v>
      </c>
      <c r="F10" s="6" t="n">
        <v>16209569</v>
      </c>
      <c r="G10" s="4" t="s">
        <v>54</v>
      </c>
    </row>
    <row r="11" customFormat="false" ht="15" hidden="false" customHeight="false" outlineLevel="0" collapsed="false">
      <c r="A11" s="4" t="n">
        <v>7</v>
      </c>
      <c r="B11" s="5" t="s">
        <v>65</v>
      </c>
      <c r="C11" s="5" t="s">
        <v>66</v>
      </c>
      <c r="D11" s="4" t="s">
        <v>53</v>
      </c>
      <c r="E11" s="6" t="n">
        <v>500000</v>
      </c>
      <c r="F11" s="6" t="n">
        <v>12890319</v>
      </c>
      <c r="G11" s="4" t="s">
        <v>54</v>
      </c>
    </row>
    <row r="12" customFormat="false" ht="15" hidden="false" customHeight="false" outlineLevel="0" collapsed="false">
      <c r="A12" s="4" t="n">
        <v>8</v>
      </c>
      <c r="B12" s="5" t="s">
        <v>67</v>
      </c>
      <c r="C12" s="5" t="s">
        <v>68</v>
      </c>
      <c r="D12" s="4" t="s">
        <v>53</v>
      </c>
      <c r="E12" s="6" t="n">
        <v>1100000</v>
      </c>
      <c r="F12" s="6" t="n">
        <v>15102819</v>
      </c>
      <c r="G12" s="4" t="s">
        <v>54</v>
      </c>
    </row>
    <row r="13" customFormat="false" ht="15" hidden="false" customHeight="false" outlineLevel="0" collapsed="false">
      <c r="A13" s="4" t="n">
        <v>9</v>
      </c>
      <c r="B13" s="5" t="s">
        <v>69</v>
      </c>
      <c r="C13" s="5" t="s">
        <v>70</v>
      </c>
      <c r="D13" s="4" t="s">
        <v>53</v>
      </c>
      <c r="E13" s="6" t="n">
        <v>1650000</v>
      </c>
      <c r="F13" s="6" t="n">
        <v>15629419</v>
      </c>
      <c r="G13" s="4" t="s">
        <v>54</v>
      </c>
    </row>
    <row r="14" customFormat="false" ht="15" hidden="false" customHeight="false" outlineLevel="0" collapsed="false">
      <c r="A14" s="4" t="n">
        <v>10</v>
      </c>
      <c r="B14" s="5" t="s">
        <v>71</v>
      </c>
      <c r="C14" s="5" t="s">
        <v>72</v>
      </c>
      <c r="D14" s="4" t="s">
        <v>53</v>
      </c>
      <c r="E14" s="6" t="n">
        <v>2650000</v>
      </c>
      <c r="F14" s="6" t="n">
        <v>23245919</v>
      </c>
      <c r="G14" s="4" t="s">
        <v>54</v>
      </c>
    </row>
    <row r="15" customFormat="false" ht="15" hidden="false" customHeight="false" outlineLevel="0" collapsed="false">
      <c r="A15" s="4" t="n">
        <v>11</v>
      </c>
      <c r="B15" s="5" t="s">
        <v>73</v>
      </c>
      <c r="C15" s="5" t="s">
        <v>74</v>
      </c>
      <c r="D15" s="4" t="s">
        <v>53</v>
      </c>
      <c r="E15" s="6" t="n">
        <v>1470000</v>
      </c>
      <c r="F15" s="6" t="n">
        <v>15423596</v>
      </c>
      <c r="G15" s="4" t="s">
        <v>54</v>
      </c>
    </row>
    <row r="16" customFormat="false" ht="15" hidden="false" customHeight="false" outlineLevel="0" collapsed="false">
      <c r="A16" s="4" t="n">
        <v>12</v>
      </c>
      <c r="B16" s="5" t="s">
        <v>75</v>
      </c>
      <c r="C16" s="5" t="s">
        <v>76</v>
      </c>
      <c r="D16" s="4" t="s">
        <v>53</v>
      </c>
      <c r="E16" s="6" t="n">
        <v>2000000</v>
      </c>
      <c r="F16" s="6" t="n">
        <v>9717189</v>
      </c>
      <c r="G16" s="4" t="s">
        <v>54</v>
      </c>
    </row>
    <row r="17" customFormat="false" ht="15" hidden="false" customHeight="false" outlineLevel="0" collapsed="false">
      <c r="A17" s="4" t="n">
        <v>13</v>
      </c>
      <c r="B17" s="5" t="s">
        <v>77</v>
      </c>
      <c r="C17" s="5" t="s">
        <v>78</v>
      </c>
      <c r="D17" s="4" t="s">
        <v>53</v>
      </c>
      <c r="E17" s="6" t="n">
        <v>1000000</v>
      </c>
      <c r="F17" s="6" t="n">
        <v>16865493</v>
      </c>
      <c r="G17" s="4" t="s">
        <v>54</v>
      </c>
    </row>
    <row r="18" customFormat="false" ht="15" hidden="false" customHeight="false" outlineLevel="0" collapsed="false">
      <c r="A18" s="4" t="n">
        <v>14</v>
      </c>
      <c r="B18" s="5" t="s">
        <v>79</v>
      </c>
      <c r="C18" s="5" t="s">
        <v>80</v>
      </c>
      <c r="D18" s="4" t="s">
        <v>53</v>
      </c>
      <c r="E18" s="6" t="n">
        <v>6920000</v>
      </c>
      <c r="F18" s="6" t="n">
        <v>24785493</v>
      </c>
      <c r="G18" s="4" t="s">
        <v>54</v>
      </c>
    </row>
    <row r="19" customFormat="false" ht="15" hidden="false" customHeight="false" outlineLevel="0" collapsed="false">
      <c r="A19" s="4" t="n">
        <v>15</v>
      </c>
      <c r="B19" s="5" t="s">
        <v>81</v>
      </c>
      <c r="C19" s="5" t="s">
        <v>82</v>
      </c>
      <c r="D19" s="4" t="s">
        <v>53</v>
      </c>
      <c r="E19" s="6" t="n">
        <v>324010</v>
      </c>
      <c r="F19" s="6" t="n">
        <v>12829353</v>
      </c>
      <c r="G19" s="4" t="s">
        <v>54</v>
      </c>
    </row>
    <row r="20" customFormat="false" ht="15" hidden="false" customHeight="false" outlineLevel="0" collapsed="false">
      <c r="A20" s="4" t="n">
        <v>16</v>
      </c>
      <c r="B20" s="5" t="s">
        <v>83</v>
      </c>
      <c r="C20" s="5" t="s">
        <v>84</v>
      </c>
      <c r="D20" s="4" t="s">
        <v>53</v>
      </c>
      <c r="E20" s="6" t="n">
        <v>29750</v>
      </c>
      <c r="F20" s="6" t="n">
        <v>10106153</v>
      </c>
      <c r="G20" s="4" t="s">
        <v>54</v>
      </c>
    </row>
    <row r="21" customFormat="false" ht="15" hidden="false" customHeight="false" outlineLevel="0" collapsed="false">
      <c r="A21" s="4" t="n">
        <v>17</v>
      </c>
      <c r="B21" s="5" t="s">
        <v>85</v>
      </c>
      <c r="C21" s="5" t="s">
        <v>86</v>
      </c>
      <c r="D21" s="4" t="s">
        <v>53</v>
      </c>
      <c r="E21" s="6" t="n">
        <v>12300000</v>
      </c>
      <c r="F21" s="6" t="n">
        <v>32585724</v>
      </c>
      <c r="G21" s="4" t="s">
        <v>54</v>
      </c>
    </row>
    <row r="22" customFormat="false" ht="15" hidden="false" customHeight="false" outlineLevel="0" collapsed="false">
      <c r="A22" s="4" t="n">
        <v>18</v>
      </c>
      <c r="B22" s="5" t="s">
        <v>87</v>
      </c>
      <c r="C22" s="5" t="s">
        <v>88</v>
      </c>
      <c r="D22" s="4" t="s">
        <v>53</v>
      </c>
      <c r="E22" s="6" t="n">
        <v>1100000</v>
      </c>
      <c r="F22" s="6" t="n">
        <v>13962373</v>
      </c>
      <c r="G22" s="4" t="s">
        <v>54</v>
      </c>
    </row>
    <row r="23" customFormat="false" ht="15" hidden="false" customHeight="false" outlineLevel="0" collapsed="false">
      <c r="A23" s="4" t="n">
        <v>19</v>
      </c>
      <c r="B23" s="5" t="s">
        <v>89</v>
      </c>
      <c r="C23" s="5" t="s">
        <v>90</v>
      </c>
      <c r="D23" s="4" t="s">
        <v>53</v>
      </c>
      <c r="E23" s="6" t="n">
        <v>1000000</v>
      </c>
      <c r="F23" s="6" t="n">
        <v>13206728</v>
      </c>
      <c r="G23" s="4" t="s">
        <v>54</v>
      </c>
    </row>
    <row r="24" customFormat="false" ht="15" hidden="false" customHeight="false" outlineLevel="0" collapsed="false">
      <c r="A24" s="4" t="n">
        <v>20</v>
      </c>
      <c r="B24" s="5" t="s">
        <v>91</v>
      </c>
      <c r="C24" s="5" t="s">
        <v>92</v>
      </c>
      <c r="D24" s="4" t="s">
        <v>53</v>
      </c>
      <c r="E24" s="6" t="n">
        <v>1000000</v>
      </c>
      <c r="F24" s="6" t="n">
        <v>13193728</v>
      </c>
      <c r="G24" s="4" t="s">
        <v>54</v>
      </c>
    </row>
    <row r="25" customFormat="false" ht="15" hidden="false" customHeight="false" outlineLevel="0" collapsed="false">
      <c r="A25" s="4" t="n">
        <v>21</v>
      </c>
      <c r="B25" s="5" t="s">
        <v>93</v>
      </c>
      <c r="C25" s="5" t="s">
        <v>94</v>
      </c>
      <c r="D25" s="4" t="s">
        <v>53</v>
      </c>
      <c r="E25" s="6" t="n">
        <v>1500000</v>
      </c>
      <c r="F25" s="6" t="n">
        <v>14338721</v>
      </c>
      <c r="G25" s="4" t="s">
        <v>54</v>
      </c>
    </row>
    <row r="26" customFormat="false" ht="15" hidden="false" customHeight="false" outlineLevel="0" collapsed="false">
      <c r="A26" s="4" t="n">
        <v>22</v>
      </c>
      <c r="B26" s="5" t="s">
        <v>95</v>
      </c>
      <c r="C26" s="5" t="s">
        <v>96</v>
      </c>
      <c r="D26" s="4" t="s">
        <v>53</v>
      </c>
      <c r="E26" s="6" t="n">
        <v>5000000</v>
      </c>
      <c r="F26" s="6" t="n">
        <v>22687027</v>
      </c>
      <c r="G26" s="4" t="s">
        <v>54</v>
      </c>
    </row>
    <row r="27" customFormat="false" ht="15" hidden="false" customHeight="false" outlineLevel="0" collapsed="false">
      <c r="A27" s="4" t="n">
        <v>23</v>
      </c>
      <c r="B27" s="5" t="s">
        <v>97</v>
      </c>
      <c r="C27" s="5" t="s">
        <v>98</v>
      </c>
      <c r="D27" s="4" t="s">
        <v>53</v>
      </c>
      <c r="E27" s="6" t="n">
        <v>1050000</v>
      </c>
      <c r="F27" s="6" t="n">
        <v>12836497</v>
      </c>
      <c r="G27" s="4" t="s">
        <v>54</v>
      </c>
    </row>
    <row r="28" customFormat="false" ht="15" hidden="false" customHeight="false" outlineLevel="0" collapsed="false">
      <c r="A28" s="4" t="n">
        <v>24</v>
      </c>
      <c r="B28" s="5" t="s">
        <v>97</v>
      </c>
      <c r="C28" s="5" t="s">
        <v>99</v>
      </c>
      <c r="D28" s="4" t="s">
        <v>53</v>
      </c>
      <c r="E28" s="6" t="n">
        <v>3000000</v>
      </c>
      <c r="F28" s="6" t="n">
        <v>14761297</v>
      </c>
      <c r="G28" s="4" t="s">
        <v>54</v>
      </c>
    </row>
    <row r="29" customFormat="false" ht="15" hidden="false" customHeight="false" outlineLevel="0" collapsed="false">
      <c r="A29" s="4" t="n">
        <v>25</v>
      </c>
      <c r="B29" s="5" t="s">
        <v>100</v>
      </c>
      <c r="C29" s="5" t="s">
        <v>101</v>
      </c>
      <c r="D29" s="4" t="s">
        <v>53</v>
      </c>
      <c r="E29" s="6" t="n">
        <v>2000000</v>
      </c>
      <c r="F29" s="6" t="n">
        <v>12634231</v>
      </c>
      <c r="G29" s="4" t="s">
        <v>54</v>
      </c>
    </row>
    <row r="30" customFormat="false" ht="15" hidden="false" customHeight="false" outlineLevel="0" collapsed="false">
      <c r="A30" s="4" t="n">
        <v>26</v>
      </c>
      <c r="B30" s="5" t="s">
        <v>102</v>
      </c>
      <c r="C30" s="5" t="s">
        <v>103</v>
      </c>
      <c r="D30" s="4" t="s">
        <v>53</v>
      </c>
      <c r="E30" s="6" t="n">
        <v>5000000</v>
      </c>
      <c r="F30" s="6" t="n">
        <v>18291089</v>
      </c>
      <c r="G30" s="4" t="s">
        <v>54</v>
      </c>
    </row>
    <row r="31" customFormat="false" ht="15" hidden="false" customHeight="false" outlineLevel="0" collapsed="false">
      <c r="A31" s="4" t="n">
        <v>27</v>
      </c>
      <c r="B31" s="5" t="s">
        <v>104</v>
      </c>
      <c r="C31" s="5" t="s">
        <v>105</v>
      </c>
      <c r="D31" s="4" t="s">
        <v>53</v>
      </c>
      <c r="E31" s="6" t="n">
        <v>1650000</v>
      </c>
      <c r="F31" s="6" t="n">
        <v>13163331</v>
      </c>
      <c r="G31" s="4" t="s">
        <v>54</v>
      </c>
    </row>
    <row r="32" customFormat="false" ht="15" hidden="false" customHeight="false" outlineLevel="0" collapsed="false">
      <c r="A32" s="4" t="n">
        <v>28</v>
      </c>
      <c r="B32" s="5" t="s">
        <v>106</v>
      </c>
      <c r="C32" s="5" t="s">
        <v>107</v>
      </c>
      <c r="D32" s="4" t="s">
        <v>53</v>
      </c>
      <c r="E32" s="6" t="n">
        <v>5000000</v>
      </c>
      <c r="F32" s="6" t="n">
        <v>19749225</v>
      </c>
      <c r="G32" s="4" t="s">
        <v>54</v>
      </c>
    </row>
    <row r="33" customFormat="false" ht="15" hidden="false" customHeight="false" outlineLevel="0" collapsed="false">
      <c r="A33" s="4" t="n">
        <v>29</v>
      </c>
      <c r="B33" s="5" t="s">
        <v>108</v>
      </c>
      <c r="C33" s="5" t="s">
        <v>109</v>
      </c>
      <c r="D33" s="4" t="s">
        <v>53</v>
      </c>
      <c r="E33" s="6" t="n">
        <v>11000000</v>
      </c>
      <c r="F33" s="6" t="n">
        <v>26615091</v>
      </c>
      <c r="G33" s="4" t="s">
        <v>54</v>
      </c>
    </row>
    <row r="34" customFormat="false" ht="15" hidden="false" customHeight="false" outlineLevel="0" collapsed="false">
      <c r="A34" s="4" t="n">
        <v>30</v>
      </c>
      <c r="B34" s="5" t="s">
        <v>110</v>
      </c>
      <c r="C34" s="5" t="s">
        <v>111</v>
      </c>
      <c r="D34" s="4" t="s">
        <v>53</v>
      </c>
      <c r="E34" s="6" t="n">
        <v>1000000</v>
      </c>
      <c r="F34" s="6" t="n">
        <v>20813054</v>
      </c>
      <c r="G34" s="4" t="s">
        <v>54</v>
      </c>
    </row>
    <row r="35" customFormat="false" ht="15" hidden="false" customHeight="false" outlineLevel="0" collapsed="false">
      <c r="A35" s="4" t="n">
        <v>31</v>
      </c>
      <c r="B35" s="5" t="s">
        <v>112</v>
      </c>
      <c r="C35" s="5" t="s">
        <v>113</v>
      </c>
      <c r="D35" s="4" t="s">
        <v>53</v>
      </c>
      <c r="E35" s="6" t="n">
        <v>2000000</v>
      </c>
      <c r="F35" s="6" t="n">
        <v>29875104</v>
      </c>
      <c r="G35" s="4" t="s">
        <v>54</v>
      </c>
    </row>
    <row r="36" customFormat="false" ht="15" hidden="false" customHeight="false" outlineLevel="0" collapsed="false">
      <c r="A36" s="4" t="n">
        <v>32</v>
      </c>
      <c r="B36" s="5" t="s">
        <v>112</v>
      </c>
      <c r="C36" s="5" t="s">
        <v>114</v>
      </c>
      <c r="D36" s="4" t="s">
        <v>53</v>
      </c>
      <c r="E36" s="6" t="n">
        <v>1000000</v>
      </c>
      <c r="F36" s="6" t="n">
        <v>23042704</v>
      </c>
      <c r="G36" s="4" t="s">
        <v>54</v>
      </c>
    </row>
    <row r="37" customFormat="false" ht="15" hidden="false" customHeight="false" outlineLevel="0" collapsed="false">
      <c r="A37" s="4" t="n">
        <v>33</v>
      </c>
      <c r="B37" s="5" t="s">
        <v>115</v>
      </c>
      <c r="C37" s="5" t="s">
        <v>116</v>
      </c>
      <c r="D37" s="4" t="s">
        <v>53</v>
      </c>
      <c r="E37" s="6" t="n">
        <v>11000000</v>
      </c>
      <c r="F37" s="6" t="n">
        <v>26394114</v>
      </c>
      <c r="G37" s="4" t="s">
        <v>54</v>
      </c>
    </row>
    <row r="38" customFormat="false" ht="15" hidden="false" customHeight="false" outlineLevel="0" collapsed="false">
      <c r="A38" s="4" t="n">
        <v>34</v>
      </c>
      <c r="B38" s="5" t="s">
        <v>117</v>
      </c>
      <c r="C38" s="5" t="s">
        <v>118</v>
      </c>
      <c r="D38" s="4" t="s">
        <v>53</v>
      </c>
      <c r="E38" s="6" t="n">
        <v>1000000</v>
      </c>
      <c r="F38" s="6" t="n">
        <v>16666634</v>
      </c>
      <c r="G38" s="4" t="s">
        <v>54</v>
      </c>
    </row>
    <row r="39" customFormat="false" ht="15" hidden="false" customHeight="false" outlineLevel="0" collapsed="false">
      <c r="A39" s="4" t="n">
        <v>35</v>
      </c>
      <c r="B39" s="5" t="s">
        <v>119</v>
      </c>
      <c r="C39" s="5" t="s">
        <v>120</v>
      </c>
      <c r="D39" s="4" t="s">
        <v>53</v>
      </c>
      <c r="E39" s="6" t="n">
        <v>3300000</v>
      </c>
      <c r="F39" s="6" t="n">
        <v>39972325</v>
      </c>
      <c r="G39" s="4" t="s">
        <v>54</v>
      </c>
    </row>
    <row r="40" customFormat="false" ht="15" hidden="false" customHeight="false" outlineLevel="0" collapsed="false">
      <c r="A40" s="4" t="n">
        <v>36</v>
      </c>
      <c r="B40" s="5" t="s">
        <v>121</v>
      </c>
      <c r="C40" s="5" t="s">
        <v>122</v>
      </c>
      <c r="D40" s="4" t="s">
        <v>53</v>
      </c>
      <c r="E40" s="6" t="n">
        <v>2500000</v>
      </c>
      <c r="F40" s="6" t="n">
        <v>19699864</v>
      </c>
      <c r="G40" s="4" t="s">
        <v>54</v>
      </c>
    </row>
    <row r="41" customFormat="false" ht="15" hidden="false" customHeight="false" outlineLevel="0" collapsed="false">
      <c r="A41" s="4" t="n">
        <v>37</v>
      </c>
      <c r="B41" s="5" t="s">
        <v>123</v>
      </c>
      <c r="C41" s="5" t="s">
        <v>124</v>
      </c>
      <c r="D41" s="4" t="s">
        <v>53</v>
      </c>
      <c r="E41" s="6" t="n">
        <v>2500000</v>
      </c>
      <c r="F41" s="6" t="n">
        <v>14873968</v>
      </c>
      <c r="G41" s="4" t="s">
        <v>54</v>
      </c>
    </row>
    <row r="42" customFormat="false" ht="15" hidden="false" customHeight="false" outlineLevel="0" collapsed="false">
      <c r="A42" s="4" t="n">
        <v>38</v>
      </c>
      <c r="B42" s="5" t="s">
        <v>125</v>
      </c>
      <c r="C42" s="5" t="s">
        <v>126</v>
      </c>
      <c r="D42" s="4" t="s">
        <v>53</v>
      </c>
      <c r="E42" s="6" t="n">
        <v>1500000</v>
      </c>
      <c r="F42" s="6" t="n">
        <v>24432949</v>
      </c>
      <c r="G42" s="4" t="s">
        <v>54</v>
      </c>
    </row>
    <row r="43" customFormat="false" ht="15" hidden="false" customHeight="false" outlineLevel="0" collapsed="false">
      <c r="A43" s="4" t="n">
        <v>39</v>
      </c>
      <c r="B43" s="5" t="s">
        <v>125</v>
      </c>
      <c r="C43" s="5" t="s">
        <v>127</v>
      </c>
      <c r="D43" s="4" t="s">
        <v>53</v>
      </c>
      <c r="E43" s="6" t="n">
        <v>2000000</v>
      </c>
      <c r="F43" s="6" t="n">
        <v>20932949</v>
      </c>
      <c r="G43" s="4" t="s">
        <v>54</v>
      </c>
    </row>
    <row r="44" customFormat="false" ht="15" hidden="false" customHeight="false" outlineLevel="0" collapsed="false">
      <c r="A44" s="4" t="n">
        <v>40</v>
      </c>
      <c r="B44" s="5" t="s">
        <v>125</v>
      </c>
      <c r="C44" s="5" t="s">
        <v>128</v>
      </c>
      <c r="D44" s="4" t="s">
        <v>53</v>
      </c>
      <c r="E44" s="6" t="n">
        <v>500000</v>
      </c>
      <c r="F44" s="6" t="n">
        <v>12745869</v>
      </c>
      <c r="G44" s="4" t="s">
        <v>54</v>
      </c>
    </row>
    <row r="45" customFormat="false" ht="15" hidden="false" customHeight="false" outlineLevel="0" collapsed="false">
      <c r="A45" s="4" t="n">
        <v>41</v>
      </c>
      <c r="B45" s="5" t="s">
        <v>129</v>
      </c>
      <c r="C45" s="5" t="s">
        <v>130</v>
      </c>
      <c r="D45" s="4" t="s">
        <v>53</v>
      </c>
      <c r="E45" s="6" t="n">
        <v>3000000</v>
      </c>
      <c r="F45" s="6" t="n">
        <v>16517169</v>
      </c>
      <c r="G45" s="4" t="s">
        <v>54</v>
      </c>
    </row>
    <row r="46" customFormat="false" ht="15" hidden="false" customHeight="false" outlineLevel="0" collapsed="false">
      <c r="A46" s="4" t="n">
        <v>42</v>
      </c>
      <c r="B46" s="5" t="s">
        <v>131</v>
      </c>
      <c r="C46" s="5" t="s">
        <v>132</v>
      </c>
      <c r="D46" s="4" t="s">
        <v>53</v>
      </c>
      <c r="E46" s="6" t="n">
        <v>2000000</v>
      </c>
      <c r="F46" s="6" t="n">
        <v>20490876</v>
      </c>
      <c r="G46" s="4" t="s">
        <v>54</v>
      </c>
    </row>
    <row r="47" customFormat="false" ht="15" hidden="false" customHeight="false" outlineLevel="0" collapsed="false">
      <c r="A47" s="4" t="n">
        <v>43</v>
      </c>
      <c r="B47" s="5" t="s">
        <v>133</v>
      </c>
      <c r="C47" s="5" t="s">
        <v>134</v>
      </c>
      <c r="D47" s="4" t="s">
        <v>53</v>
      </c>
      <c r="E47" s="6" t="n">
        <v>4000000</v>
      </c>
      <c r="F47" s="6" t="n">
        <v>21243876</v>
      </c>
      <c r="G47" s="4" t="s">
        <v>54</v>
      </c>
    </row>
    <row r="48" customFormat="false" ht="15" hidden="false" customHeight="false" outlineLevel="0" collapsed="false">
      <c r="A48" s="4" t="n">
        <v>44</v>
      </c>
      <c r="B48" s="5" t="s">
        <v>135</v>
      </c>
      <c r="C48" s="5" t="s">
        <v>136</v>
      </c>
      <c r="D48" s="4" t="s">
        <v>53</v>
      </c>
      <c r="E48" s="6" t="n">
        <v>3000000</v>
      </c>
      <c r="F48" s="6" t="n">
        <v>23496936</v>
      </c>
      <c r="G48" s="4" t="s">
        <v>54</v>
      </c>
    </row>
    <row r="49" customFormat="false" ht="15" hidden="false" customHeight="false" outlineLevel="0" collapsed="false">
      <c r="A49" s="4" t="n">
        <v>45</v>
      </c>
      <c r="B49" s="5" t="s">
        <v>137</v>
      </c>
      <c r="C49" s="5" t="s">
        <v>138</v>
      </c>
      <c r="D49" s="4" t="s">
        <v>53</v>
      </c>
      <c r="E49" s="6" t="n">
        <v>3000000</v>
      </c>
      <c r="F49" s="6" t="n">
        <v>22966476</v>
      </c>
      <c r="G49" s="4" t="s">
        <v>54</v>
      </c>
    </row>
    <row r="50" customFormat="false" ht="15" hidden="false" customHeight="false" outlineLevel="0" collapsed="false">
      <c r="A50" s="4" t="n">
        <v>46</v>
      </c>
      <c r="B50" s="5" t="s">
        <v>139</v>
      </c>
      <c r="C50" s="5" t="s">
        <v>140</v>
      </c>
      <c r="D50" s="4" t="s">
        <v>53</v>
      </c>
      <c r="E50" s="6" t="n">
        <v>2000000</v>
      </c>
      <c r="F50" s="6" t="n">
        <v>13982750</v>
      </c>
      <c r="G50" s="4" t="s">
        <v>54</v>
      </c>
    </row>
    <row r="51" customFormat="false" ht="15" hidden="false" customHeight="false" outlineLevel="0" collapsed="false">
      <c r="A51" s="4" t="n">
        <v>47</v>
      </c>
      <c r="B51" s="5" t="s">
        <v>141</v>
      </c>
      <c r="C51" s="5" t="s">
        <v>142</v>
      </c>
      <c r="D51" s="4" t="s">
        <v>53</v>
      </c>
      <c r="E51" s="6" t="n">
        <v>1000000</v>
      </c>
      <c r="F51" s="6" t="n">
        <v>8137849</v>
      </c>
      <c r="G51" s="4" t="s">
        <v>54</v>
      </c>
    </row>
    <row r="52" customFormat="false" ht="15" hidden="false" customHeight="false" outlineLevel="0" collapsed="false">
      <c r="A52" s="4" t="n">
        <v>48</v>
      </c>
      <c r="B52" s="5" t="s">
        <v>143</v>
      </c>
      <c r="C52" s="5" t="s">
        <v>144</v>
      </c>
      <c r="D52" s="4" t="s">
        <v>53</v>
      </c>
      <c r="E52" s="6" t="n">
        <v>1500000</v>
      </c>
      <c r="F52" s="6" t="n">
        <v>19589152</v>
      </c>
      <c r="G52" s="4" t="s">
        <v>54</v>
      </c>
    </row>
    <row r="53" customFormat="false" ht="15" hidden="false" customHeight="false" outlineLevel="0" collapsed="false">
      <c r="A53" s="4" t="n">
        <v>49</v>
      </c>
      <c r="B53" s="5" t="s">
        <v>145</v>
      </c>
      <c r="C53" s="5" t="s">
        <v>146</v>
      </c>
      <c r="D53" s="4" t="s">
        <v>53</v>
      </c>
      <c r="E53" s="6" t="n">
        <v>1500000</v>
      </c>
      <c r="F53" s="6" t="n">
        <v>14185502</v>
      </c>
      <c r="G53" s="4" t="s">
        <v>54</v>
      </c>
    </row>
    <row r="54" customFormat="false" ht="15" hidden="false" customHeight="false" outlineLevel="0" collapsed="false">
      <c r="A54" s="4" t="n">
        <v>50</v>
      </c>
      <c r="B54" s="5" t="s">
        <v>147</v>
      </c>
      <c r="C54" s="5" t="s">
        <v>148</v>
      </c>
      <c r="D54" s="4" t="s">
        <v>53</v>
      </c>
      <c r="E54" s="6" t="n">
        <v>2500000</v>
      </c>
      <c r="F54" s="6" t="n">
        <v>10764027</v>
      </c>
      <c r="G54" s="4" t="s">
        <v>54</v>
      </c>
    </row>
    <row r="55" customFormat="false" ht="15" hidden="false" customHeight="false" outlineLevel="0" collapsed="false">
      <c r="A55" s="4" t="n">
        <v>51</v>
      </c>
      <c r="B55" s="5" t="s">
        <v>149</v>
      </c>
      <c r="C55" s="5" t="s">
        <v>150</v>
      </c>
      <c r="D55" s="4" t="s">
        <v>53</v>
      </c>
      <c r="E55" s="6" t="n">
        <v>6425000</v>
      </c>
      <c r="F55" s="6" t="n">
        <v>14826827</v>
      </c>
      <c r="G55" s="4" t="s">
        <v>54</v>
      </c>
    </row>
    <row r="56" customFormat="false" ht="15" hidden="false" customHeight="false" outlineLevel="0" collapsed="false">
      <c r="A56" s="4" t="n">
        <v>52</v>
      </c>
      <c r="B56" s="5" t="s">
        <v>151</v>
      </c>
      <c r="C56" s="5" t="s">
        <v>152</v>
      </c>
      <c r="D56" s="4" t="s">
        <v>53</v>
      </c>
      <c r="E56" s="6" t="n">
        <v>22000000</v>
      </c>
      <c r="F56" s="6" t="n">
        <v>42447150</v>
      </c>
      <c r="G56" s="4" t="s">
        <v>54</v>
      </c>
    </row>
    <row r="57" customFormat="false" ht="15" hidden="false" customHeight="false" outlineLevel="0" collapsed="false">
      <c r="A57" s="4" t="n">
        <v>53</v>
      </c>
      <c r="B57" s="5" t="s">
        <v>153</v>
      </c>
      <c r="C57" s="5" t="s">
        <v>154</v>
      </c>
      <c r="D57" s="4" t="s">
        <v>53</v>
      </c>
      <c r="E57" s="6" t="n">
        <v>3000000</v>
      </c>
      <c r="F57" s="6" t="n">
        <v>14037643</v>
      </c>
      <c r="G57" s="4" t="s">
        <v>54</v>
      </c>
    </row>
    <row r="58" customFormat="false" ht="15" hidden="false" customHeight="false" outlineLevel="0" collapsed="false">
      <c r="A58" s="4" t="n">
        <v>54</v>
      </c>
      <c r="B58" s="5" t="s">
        <v>155</v>
      </c>
      <c r="C58" s="5" t="s">
        <v>156</v>
      </c>
      <c r="D58" s="4" t="s">
        <v>53</v>
      </c>
      <c r="E58" s="6" t="n">
        <v>4000000</v>
      </c>
      <c r="F58" s="6" t="n">
        <v>28771550</v>
      </c>
      <c r="G58" s="4" t="s">
        <v>54</v>
      </c>
    </row>
    <row r="59" customFormat="false" ht="15" hidden="false" customHeight="false" outlineLevel="0" collapsed="false">
      <c r="A59" s="4" t="n">
        <v>55</v>
      </c>
      <c r="B59" s="5" t="s">
        <v>157</v>
      </c>
      <c r="C59" s="5" t="s">
        <v>158</v>
      </c>
      <c r="D59" s="4" t="s">
        <v>53</v>
      </c>
      <c r="E59" s="6" t="n">
        <v>5000000</v>
      </c>
      <c r="F59" s="6" t="n">
        <v>30575527</v>
      </c>
      <c r="G59" s="4" t="s">
        <v>54</v>
      </c>
    </row>
    <row r="60" customFormat="false" ht="15" hidden="false" customHeight="false" outlineLevel="0" collapsed="false">
      <c r="A60" s="4" t="n">
        <v>56</v>
      </c>
      <c r="B60" s="5" t="s">
        <v>159</v>
      </c>
      <c r="C60" s="5" t="s">
        <v>136</v>
      </c>
      <c r="D60" s="4" t="s">
        <v>53</v>
      </c>
      <c r="E60" s="6" t="n">
        <v>4150000</v>
      </c>
      <c r="F60" s="6" t="n">
        <v>32949727</v>
      </c>
      <c r="G60" s="4" t="s">
        <v>54</v>
      </c>
    </row>
    <row r="61" customFormat="false" ht="15" hidden="false" customHeight="false" outlineLevel="0" collapsed="false">
      <c r="A61" s="4" t="n">
        <v>57</v>
      </c>
      <c r="B61" s="5" t="s">
        <v>160</v>
      </c>
      <c r="C61" s="5" t="s">
        <v>161</v>
      </c>
      <c r="D61" s="4" t="s">
        <v>53</v>
      </c>
      <c r="E61" s="6" t="n">
        <v>5000000</v>
      </c>
      <c r="F61" s="6" t="n">
        <v>18907044</v>
      </c>
      <c r="G61" s="4" t="s">
        <v>54</v>
      </c>
    </row>
    <row r="62" customFormat="false" ht="15" hidden="false" customHeight="false" outlineLevel="0" collapsed="false">
      <c r="A62" s="4" t="n">
        <v>58</v>
      </c>
      <c r="B62" s="5" t="s">
        <v>162</v>
      </c>
      <c r="C62" s="5" t="s">
        <v>163</v>
      </c>
      <c r="D62" s="4" t="s">
        <v>53</v>
      </c>
      <c r="E62" s="6" t="n">
        <v>1000000</v>
      </c>
      <c r="F62" s="6" t="n">
        <v>12364456</v>
      </c>
      <c r="G62" s="4" t="s">
        <v>54</v>
      </c>
    </row>
    <row r="63" customFormat="false" ht="15" hidden="false" customHeight="false" outlineLevel="0" collapsed="false">
      <c r="A63" s="4" t="n">
        <v>59</v>
      </c>
      <c r="B63" s="5" t="s">
        <v>164</v>
      </c>
      <c r="C63" s="5" t="s">
        <v>165</v>
      </c>
      <c r="D63" s="4" t="s">
        <v>53</v>
      </c>
      <c r="E63" s="6" t="n">
        <v>5000000</v>
      </c>
      <c r="F63" s="6" t="n">
        <v>17603800</v>
      </c>
      <c r="G63" s="4" t="s">
        <v>54</v>
      </c>
    </row>
    <row r="64" customFormat="false" ht="15" hidden="false" customHeight="false" outlineLevel="0" collapsed="false">
      <c r="A64" s="7" t="s">
        <v>19</v>
      </c>
      <c r="B64" s="7"/>
      <c r="C64" s="7"/>
      <c r="D64" s="12" t="s">
        <v>166</v>
      </c>
      <c r="E64" s="8" t="n">
        <f aca="false">SUM(E5:E63)</f>
        <v>190155010</v>
      </c>
      <c r="F64" s="7"/>
      <c r="G64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0" t="s">
        <v>167</v>
      </c>
      <c r="B1" s="10"/>
      <c r="C1" s="10"/>
      <c r="D1" s="10"/>
      <c r="E1" s="10"/>
      <c r="F1" s="10"/>
      <c r="G1" s="10"/>
    </row>
    <row r="2" customFormat="false" ht="12.65" hidden="false" customHeight="false" outlineLevel="0" collapsed="false">
      <c r="A2" s="11" t="s">
        <v>168</v>
      </c>
      <c r="B2" s="11"/>
      <c r="C2" s="11"/>
      <c r="D2" s="11"/>
      <c r="E2" s="11"/>
      <c r="F2" s="11"/>
      <c r="G2" s="11"/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</row>
    <row r="5" customFormat="false" ht="15" hidden="false" customHeight="false" outlineLevel="0" collapsed="false">
      <c r="A5" s="4" t="n">
        <v>1</v>
      </c>
      <c r="B5" s="5" t="s">
        <v>169</v>
      </c>
      <c r="C5" s="5" t="s">
        <v>170</v>
      </c>
      <c r="D5" s="4" t="s">
        <v>53</v>
      </c>
      <c r="E5" s="6" t="n">
        <v>113000</v>
      </c>
      <c r="F5" s="6" t="n">
        <v>4698231</v>
      </c>
      <c r="G5" s="4" t="s">
        <v>54</v>
      </c>
    </row>
    <row r="6" customFormat="false" ht="15" hidden="false" customHeight="false" outlineLevel="0" collapsed="false">
      <c r="A6" s="4" t="n">
        <v>2</v>
      </c>
      <c r="B6" s="5" t="s">
        <v>51</v>
      </c>
      <c r="C6" s="5" t="s">
        <v>171</v>
      </c>
      <c r="D6" s="4" t="s">
        <v>53</v>
      </c>
      <c r="E6" s="6" t="n">
        <v>3558750</v>
      </c>
      <c r="F6" s="6" t="n">
        <v>8094981</v>
      </c>
      <c r="G6" s="4" t="s">
        <v>54</v>
      </c>
    </row>
    <row r="7" customFormat="false" ht="15" hidden="false" customHeight="false" outlineLevel="0" collapsed="false">
      <c r="A7" s="4" t="n">
        <v>3</v>
      </c>
      <c r="B7" s="5" t="s">
        <v>55</v>
      </c>
      <c r="C7" s="5" t="s">
        <v>56</v>
      </c>
      <c r="D7" s="4" t="s">
        <v>53</v>
      </c>
      <c r="E7" s="6" t="n">
        <v>492500</v>
      </c>
      <c r="F7" s="6" t="n">
        <v>8928231</v>
      </c>
      <c r="G7" s="4" t="s">
        <v>54</v>
      </c>
    </row>
    <row r="8" customFormat="false" ht="15" hidden="false" customHeight="false" outlineLevel="0" collapsed="false">
      <c r="A8" s="4" t="n">
        <v>4</v>
      </c>
      <c r="B8" s="5" t="s">
        <v>59</v>
      </c>
      <c r="C8" s="5" t="s">
        <v>60</v>
      </c>
      <c r="D8" s="4" t="s">
        <v>53</v>
      </c>
      <c r="E8" s="6" t="n">
        <v>2000000</v>
      </c>
      <c r="F8" s="6" t="n">
        <v>8811331</v>
      </c>
      <c r="G8" s="4" t="s">
        <v>54</v>
      </c>
    </row>
    <row r="9" customFormat="false" ht="15" hidden="false" customHeight="false" outlineLevel="0" collapsed="false">
      <c r="A9" s="4" t="n">
        <v>5</v>
      </c>
      <c r="B9" s="5" t="s">
        <v>61</v>
      </c>
      <c r="C9" s="5" t="s">
        <v>62</v>
      </c>
      <c r="D9" s="4" t="s">
        <v>53</v>
      </c>
      <c r="E9" s="6" t="n">
        <v>985000</v>
      </c>
      <c r="F9" s="6" t="n">
        <v>9019394</v>
      </c>
      <c r="G9" s="4" t="s">
        <v>54</v>
      </c>
    </row>
    <row r="10" customFormat="false" ht="15" hidden="false" customHeight="false" outlineLevel="0" collapsed="false">
      <c r="A10" s="4" t="n">
        <v>6</v>
      </c>
      <c r="B10" s="5" t="s">
        <v>63</v>
      </c>
      <c r="C10" s="5" t="s">
        <v>64</v>
      </c>
      <c r="D10" s="4" t="s">
        <v>53</v>
      </c>
      <c r="E10" s="6" t="n">
        <v>5500000</v>
      </c>
      <c r="F10" s="6" t="n">
        <v>10709569</v>
      </c>
      <c r="G10" s="4" t="s">
        <v>54</v>
      </c>
    </row>
    <row r="11" customFormat="false" ht="15" hidden="false" customHeight="false" outlineLevel="0" collapsed="false">
      <c r="A11" s="4" t="n">
        <v>7</v>
      </c>
      <c r="B11" s="5" t="s">
        <v>65</v>
      </c>
      <c r="C11" s="5" t="s">
        <v>66</v>
      </c>
      <c r="D11" s="4" t="s">
        <v>53</v>
      </c>
      <c r="E11" s="6" t="n">
        <v>500000</v>
      </c>
      <c r="F11" s="6" t="n">
        <v>12390319</v>
      </c>
      <c r="G11" s="4" t="s">
        <v>54</v>
      </c>
    </row>
    <row r="12" customFormat="false" ht="15" hidden="false" customHeight="false" outlineLevel="0" collapsed="false">
      <c r="A12" s="4" t="n">
        <v>8</v>
      </c>
      <c r="B12" s="5" t="s">
        <v>67</v>
      </c>
      <c r="C12" s="5" t="s">
        <v>68</v>
      </c>
      <c r="D12" s="4" t="s">
        <v>53</v>
      </c>
      <c r="E12" s="6" t="n">
        <v>1100000</v>
      </c>
      <c r="F12" s="6" t="n">
        <v>14002819</v>
      </c>
      <c r="G12" s="4" t="s">
        <v>54</v>
      </c>
    </row>
    <row r="13" customFormat="false" ht="15" hidden="false" customHeight="false" outlineLevel="0" collapsed="false">
      <c r="A13" s="4" t="n">
        <v>9</v>
      </c>
      <c r="B13" s="5" t="s">
        <v>69</v>
      </c>
      <c r="C13" s="5" t="s">
        <v>70</v>
      </c>
      <c r="D13" s="4" t="s">
        <v>53</v>
      </c>
      <c r="E13" s="6" t="n">
        <v>1650000</v>
      </c>
      <c r="F13" s="6" t="n">
        <v>13979419</v>
      </c>
      <c r="G13" s="4" t="s">
        <v>54</v>
      </c>
    </row>
    <row r="14" customFormat="false" ht="15" hidden="false" customHeight="false" outlineLevel="0" collapsed="false">
      <c r="A14" s="4" t="n">
        <v>10</v>
      </c>
      <c r="B14" s="5" t="s">
        <v>71</v>
      </c>
      <c r="C14" s="5" t="s">
        <v>72</v>
      </c>
      <c r="D14" s="4" t="s">
        <v>53</v>
      </c>
      <c r="E14" s="6" t="n">
        <v>2650000</v>
      </c>
      <c r="F14" s="6" t="n">
        <v>20595919</v>
      </c>
      <c r="G14" s="4" t="s">
        <v>54</v>
      </c>
    </row>
    <row r="15" customFormat="false" ht="15" hidden="false" customHeight="false" outlineLevel="0" collapsed="false">
      <c r="A15" s="4" t="n">
        <v>11</v>
      </c>
      <c r="B15" s="5" t="s">
        <v>73</v>
      </c>
      <c r="C15" s="5" t="s">
        <v>74</v>
      </c>
      <c r="D15" s="4" t="s">
        <v>53</v>
      </c>
      <c r="E15" s="6" t="n">
        <v>1470000</v>
      </c>
      <c r="F15" s="6" t="n">
        <v>13953596</v>
      </c>
      <c r="G15" s="4" t="s">
        <v>54</v>
      </c>
    </row>
    <row r="16" customFormat="false" ht="15" hidden="false" customHeight="false" outlineLevel="0" collapsed="false">
      <c r="A16" s="4" t="n">
        <v>12</v>
      </c>
      <c r="B16" s="5" t="s">
        <v>75</v>
      </c>
      <c r="C16" s="5" t="s">
        <v>76</v>
      </c>
      <c r="D16" s="4" t="s">
        <v>53</v>
      </c>
      <c r="E16" s="6" t="n">
        <v>2000000</v>
      </c>
      <c r="F16" s="6" t="n">
        <v>7717189</v>
      </c>
      <c r="G16" s="4" t="s">
        <v>54</v>
      </c>
    </row>
    <row r="17" customFormat="false" ht="15" hidden="false" customHeight="false" outlineLevel="0" collapsed="false">
      <c r="A17" s="4" t="n">
        <v>13</v>
      </c>
      <c r="B17" s="5" t="s">
        <v>77</v>
      </c>
      <c r="C17" s="5" t="s">
        <v>78</v>
      </c>
      <c r="D17" s="4" t="s">
        <v>53</v>
      </c>
      <c r="E17" s="6" t="n">
        <v>1000000</v>
      </c>
      <c r="F17" s="6" t="n">
        <v>15865493</v>
      </c>
      <c r="G17" s="4" t="s">
        <v>54</v>
      </c>
    </row>
    <row r="18" customFormat="false" ht="15" hidden="false" customHeight="false" outlineLevel="0" collapsed="false">
      <c r="A18" s="4" t="n">
        <v>14</v>
      </c>
      <c r="B18" s="5" t="s">
        <v>79</v>
      </c>
      <c r="C18" s="5" t="s">
        <v>80</v>
      </c>
      <c r="D18" s="4" t="s">
        <v>53</v>
      </c>
      <c r="E18" s="6" t="n">
        <v>6920000</v>
      </c>
      <c r="F18" s="6" t="n">
        <v>17865493</v>
      </c>
      <c r="G18" s="4" t="s">
        <v>54</v>
      </c>
    </row>
    <row r="19" customFormat="false" ht="15" hidden="false" customHeight="false" outlineLevel="0" collapsed="false">
      <c r="A19" s="4" t="n">
        <v>15</v>
      </c>
      <c r="B19" s="5" t="s">
        <v>81</v>
      </c>
      <c r="C19" s="5" t="s">
        <v>82</v>
      </c>
      <c r="D19" s="4" t="s">
        <v>53</v>
      </c>
      <c r="E19" s="6" t="n">
        <v>70220</v>
      </c>
      <c r="F19" s="6" t="n">
        <v>12759133</v>
      </c>
      <c r="G19" s="4" t="s">
        <v>54</v>
      </c>
    </row>
    <row r="20" customFormat="false" ht="15" hidden="false" customHeight="false" outlineLevel="0" collapsed="false">
      <c r="A20" s="4" t="n">
        <v>16</v>
      </c>
      <c r="B20" s="5" t="s">
        <v>83</v>
      </c>
      <c r="C20" s="5" t="s">
        <v>84</v>
      </c>
      <c r="D20" s="4" t="s">
        <v>53</v>
      </c>
      <c r="E20" s="6" t="n">
        <v>4390</v>
      </c>
      <c r="F20" s="6" t="n">
        <v>10101763</v>
      </c>
      <c r="G20" s="4" t="s">
        <v>54</v>
      </c>
    </row>
    <row r="21" customFormat="false" ht="15" hidden="false" customHeight="false" outlineLevel="0" collapsed="false">
      <c r="A21" s="4" t="n">
        <v>17</v>
      </c>
      <c r="B21" s="5" t="s">
        <v>85</v>
      </c>
      <c r="C21" s="5" t="s">
        <v>86</v>
      </c>
      <c r="D21" s="4" t="s">
        <v>53</v>
      </c>
      <c r="E21" s="6" t="n">
        <v>12300000</v>
      </c>
      <c r="F21" s="6" t="n">
        <v>20285724</v>
      </c>
      <c r="G21" s="4" t="s">
        <v>54</v>
      </c>
    </row>
    <row r="22" customFormat="false" ht="15" hidden="false" customHeight="false" outlineLevel="0" collapsed="false">
      <c r="A22" s="4" t="n">
        <v>18</v>
      </c>
      <c r="B22" s="5" t="s">
        <v>87</v>
      </c>
      <c r="C22" s="5" t="s">
        <v>88</v>
      </c>
      <c r="D22" s="4" t="s">
        <v>53</v>
      </c>
      <c r="E22" s="6" t="n">
        <v>1100000</v>
      </c>
      <c r="F22" s="6" t="n">
        <v>12862373</v>
      </c>
      <c r="G22" s="4" t="s">
        <v>54</v>
      </c>
    </row>
    <row r="23" customFormat="false" ht="15" hidden="false" customHeight="false" outlineLevel="0" collapsed="false">
      <c r="A23" s="4" t="n">
        <v>19</v>
      </c>
      <c r="B23" s="5" t="s">
        <v>89</v>
      </c>
      <c r="C23" s="5" t="s">
        <v>90</v>
      </c>
      <c r="D23" s="4" t="s">
        <v>53</v>
      </c>
      <c r="E23" s="6" t="n">
        <v>1000000</v>
      </c>
      <c r="F23" s="6" t="n">
        <v>12206728</v>
      </c>
      <c r="G23" s="4" t="s">
        <v>54</v>
      </c>
    </row>
    <row r="24" customFormat="false" ht="15" hidden="false" customHeight="false" outlineLevel="0" collapsed="false">
      <c r="A24" s="4" t="n">
        <v>20</v>
      </c>
      <c r="B24" s="5" t="s">
        <v>91</v>
      </c>
      <c r="C24" s="5" t="s">
        <v>92</v>
      </c>
      <c r="D24" s="4" t="s">
        <v>53</v>
      </c>
      <c r="E24" s="6" t="n">
        <v>1000000</v>
      </c>
      <c r="F24" s="6" t="n">
        <v>12193728</v>
      </c>
      <c r="G24" s="4" t="s">
        <v>54</v>
      </c>
    </row>
    <row r="25" customFormat="false" ht="15" hidden="false" customHeight="false" outlineLevel="0" collapsed="false">
      <c r="A25" s="4" t="n">
        <v>21</v>
      </c>
      <c r="B25" s="5" t="s">
        <v>93</v>
      </c>
      <c r="C25" s="5" t="s">
        <v>94</v>
      </c>
      <c r="D25" s="4" t="s">
        <v>53</v>
      </c>
      <c r="E25" s="6" t="n">
        <v>1500000</v>
      </c>
      <c r="F25" s="6" t="n">
        <v>12838721</v>
      </c>
      <c r="G25" s="4" t="s">
        <v>54</v>
      </c>
    </row>
    <row r="26" customFormat="false" ht="15" hidden="false" customHeight="false" outlineLevel="0" collapsed="false">
      <c r="A26" s="4" t="n">
        <v>22</v>
      </c>
      <c r="B26" s="5" t="s">
        <v>95</v>
      </c>
      <c r="C26" s="5" t="s">
        <v>96</v>
      </c>
      <c r="D26" s="4" t="s">
        <v>53</v>
      </c>
      <c r="E26" s="6" t="n">
        <v>5000000</v>
      </c>
      <c r="F26" s="6" t="n">
        <v>17687027</v>
      </c>
      <c r="G26" s="4" t="s">
        <v>54</v>
      </c>
    </row>
    <row r="27" customFormat="false" ht="15" hidden="false" customHeight="false" outlineLevel="0" collapsed="false">
      <c r="A27" s="4" t="n">
        <v>23</v>
      </c>
      <c r="B27" s="5" t="s">
        <v>97</v>
      </c>
      <c r="C27" s="5" t="s">
        <v>98</v>
      </c>
      <c r="D27" s="4" t="s">
        <v>53</v>
      </c>
      <c r="E27" s="6" t="n">
        <v>1050000</v>
      </c>
      <c r="F27" s="6" t="n">
        <v>11786497</v>
      </c>
      <c r="G27" s="4" t="s">
        <v>54</v>
      </c>
    </row>
    <row r="28" customFormat="false" ht="15" hidden="false" customHeight="false" outlineLevel="0" collapsed="false">
      <c r="A28" s="4" t="n">
        <v>24</v>
      </c>
      <c r="B28" s="5" t="s">
        <v>97</v>
      </c>
      <c r="C28" s="5" t="s">
        <v>99</v>
      </c>
      <c r="D28" s="4" t="s">
        <v>53</v>
      </c>
      <c r="E28" s="6" t="n">
        <v>3000000</v>
      </c>
      <c r="F28" s="6" t="n">
        <v>11761297</v>
      </c>
      <c r="G28" s="4" t="s">
        <v>54</v>
      </c>
    </row>
    <row r="29" customFormat="false" ht="15" hidden="false" customHeight="false" outlineLevel="0" collapsed="false">
      <c r="A29" s="4" t="n">
        <v>25</v>
      </c>
      <c r="B29" s="5" t="s">
        <v>100</v>
      </c>
      <c r="C29" s="5" t="s">
        <v>101</v>
      </c>
      <c r="D29" s="4" t="s">
        <v>53</v>
      </c>
      <c r="E29" s="6" t="n">
        <v>2000000</v>
      </c>
      <c r="F29" s="6" t="n">
        <v>10634231</v>
      </c>
      <c r="G29" s="4" t="s">
        <v>54</v>
      </c>
    </row>
    <row r="30" customFormat="false" ht="15" hidden="false" customHeight="false" outlineLevel="0" collapsed="false">
      <c r="A30" s="4" t="n">
        <v>26</v>
      </c>
      <c r="B30" s="5" t="s">
        <v>172</v>
      </c>
      <c r="C30" s="5" t="s">
        <v>56</v>
      </c>
      <c r="D30" s="4" t="s">
        <v>53</v>
      </c>
      <c r="E30" s="6" t="n">
        <v>1500000</v>
      </c>
      <c r="F30" s="6" t="n">
        <v>8846231</v>
      </c>
      <c r="G30" s="4" t="s">
        <v>54</v>
      </c>
    </row>
    <row r="31" customFormat="false" ht="15" hidden="false" customHeight="false" outlineLevel="0" collapsed="false">
      <c r="A31" s="4" t="n">
        <v>27</v>
      </c>
      <c r="B31" s="5" t="s">
        <v>102</v>
      </c>
      <c r="C31" s="5" t="s">
        <v>103</v>
      </c>
      <c r="D31" s="4" t="s">
        <v>53</v>
      </c>
      <c r="E31" s="6" t="n">
        <v>5000000</v>
      </c>
      <c r="F31" s="6" t="n">
        <v>13291089</v>
      </c>
      <c r="G31" s="4" t="s">
        <v>54</v>
      </c>
    </row>
    <row r="32" customFormat="false" ht="15" hidden="false" customHeight="false" outlineLevel="0" collapsed="false">
      <c r="A32" s="4" t="n">
        <v>28</v>
      </c>
      <c r="B32" s="5" t="s">
        <v>104</v>
      </c>
      <c r="C32" s="5" t="s">
        <v>105</v>
      </c>
      <c r="D32" s="4" t="s">
        <v>53</v>
      </c>
      <c r="E32" s="6" t="n">
        <v>1650000</v>
      </c>
      <c r="F32" s="6" t="n">
        <v>11513331</v>
      </c>
      <c r="G32" s="4" t="s">
        <v>54</v>
      </c>
    </row>
    <row r="33" customFormat="false" ht="15" hidden="false" customHeight="false" outlineLevel="0" collapsed="false">
      <c r="A33" s="4" t="n">
        <v>29</v>
      </c>
      <c r="B33" s="5" t="s">
        <v>106</v>
      </c>
      <c r="C33" s="5" t="s">
        <v>107</v>
      </c>
      <c r="D33" s="4" t="s">
        <v>53</v>
      </c>
      <c r="E33" s="6" t="n">
        <v>6000000</v>
      </c>
      <c r="F33" s="6" t="n">
        <v>13749225</v>
      </c>
      <c r="G33" s="4" t="s">
        <v>54</v>
      </c>
    </row>
    <row r="34" customFormat="false" ht="15" hidden="false" customHeight="false" outlineLevel="0" collapsed="false">
      <c r="A34" s="4" t="n">
        <v>30</v>
      </c>
      <c r="B34" s="5" t="s">
        <v>106</v>
      </c>
      <c r="C34" s="5" t="s">
        <v>173</v>
      </c>
      <c r="D34" s="4" t="s">
        <v>53</v>
      </c>
      <c r="E34" s="6" t="n">
        <v>2500000</v>
      </c>
      <c r="F34" s="6" t="n">
        <v>14249225</v>
      </c>
      <c r="G34" s="4" t="s">
        <v>54</v>
      </c>
    </row>
    <row r="35" customFormat="false" ht="15" hidden="false" customHeight="false" outlineLevel="0" collapsed="false">
      <c r="A35" s="4" t="n">
        <v>31</v>
      </c>
      <c r="B35" s="5" t="s">
        <v>108</v>
      </c>
      <c r="C35" s="5" t="s">
        <v>109</v>
      </c>
      <c r="D35" s="4" t="s">
        <v>53</v>
      </c>
      <c r="E35" s="6" t="n">
        <v>11000000</v>
      </c>
      <c r="F35" s="6" t="n">
        <v>15615091</v>
      </c>
      <c r="G35" s="4" t="s">
        <v>54</v>
      </c>
    </row>
    <row r="36" customFormat="false" ht="15" hidden="false" customHeight="false" outlineLevel="0" collapsed="false">
      <c r="A36" s="4" t="n">
        <v>32</v>
      </c>
      <c r="B36" s="5" t="s">
        <v>110</v>
      </c>
      <c r="C36" s="5" t="s">
        <v>111</v>
      </c>
      <c r="D36" s="4" t="s">
        <v>53</v>
      </c>
      <c r="E36" s="6" t="n">
        <v>1000000</v>
      </c>
      <c r="F36" s="6" t="n">
        <v>19813054</v>
      </c>
      <c r="G36" s="4" t="s">
        <v>54</v>
      </c>
    </row>
    <row r="37" customFormat="false" ht="15" hidden="false" customHeight="false" outlineLevel="0" collapsed="false">
      <c r="A37" s="4" t="n">
        <v>33</v>
      </c>
      <c r="B37" s="5" t="s">
        <v>112</v>
      </c>
      <c r="C37" s="5" t="s">
        <v>113</v>
      </c>
      <c r="D37" s="4" t="s">
        <v>53</v>
      </c>
      <c r="E37" s="6" t="n">
        <v>2000000</v>
      </c>
      <c r="F37" s="6" t="n">
        <v>27875104</v>
      </c>
      <c r="G37" s="4" t="s">
        <v>54</v>
      </c>
    </row>
    <row r="38" customFormat="false" ht="15" hidden="false" customHeight="false" outlineLevel="0" collapsed="false">
      <c r="A38" s="4" t="n">
        <v>34</v>
      </c>
      <c r="B38" s="5" t="s">
        <v>112</v>
      </c>
      <c r="C38" s="5" t="s">
        <v>114</v>
      </c>
      <c r="D38" s="4" t="s">
        <v>53</v>
      </c>
      <c r="E38" s="6" t="n">
        <v>1000000</v>
      </c>
      <c r="F38" s="6" t="n">
        <v>22042704</v>
      </c>
      <c r="G38" s="4" t="s">
        <v>54</v>
      </c>
    </row>
    <row r="39" customFormat="false" ht="15" hidden="false" customHeight="false" outlineLevel="0" collapsed="false">
      <c r="A39" s="4" t="n">
        <v>35</v>
      </c>
      <c r="B39" s="5" t="s">
        <v>115</v>
      </c>
      <c r="C39" s="5" t="s">
        <v>116</v>
      </c>
      <c r="D39" s="4" t="s">
        <v>53</v>
      </c>
      <c r="E39" s="6" t="n">
        <v>11000000</v>
      </c>
      <c r="F39" s="6" t="n">
        <v>15394114</v>
      </c>
      <c r="G39" s="4" t="s">
        <v>54</v>
      </c>
    </row>
    <row r="40" customFormat="false" ht="15" hidden="false" customHeight="false" outlineLevel="0" collapsed="false">
      <c r="A40" s="4" t="n">
        <v>36</v>
      </c>
      <c r="B40" s="5" t="s">
        <v>117</v>
      </c>
      <c r="C40" s="5" t="s">
        <v>118</v>
      </c>
      <c r="D40" s="4" t="s">
        <v>53</v>
      </c>
      <c r="E40" s="6" t="n">
        <v>1000000</v>
      </c>
      <c r="F40" s="6" t="n">
        <v>15666634</v>
      </c>
      <c r="G40" s="4" t="s">
        <v>54</v>
      </c>
    </row>
    <row r="41" customFormat="false" ht="15" hidden="false" customHeight="false" outlineLevel="0" collapsed="false">
      <c r="A41" s="4" t="n">
        <v>37</v>
      </c>
      <c r="B41" s="5" t="s">
        <v>119</v>
      </c>
      <c r="C41" s="5" t="s">
        <v>120</v>
      </c>
      <c r="D41" s="4" t="s">
        <v>53</v>
      </c>
      <c r="E41" s="6" t="n">
        <v>3300000</v>
      </c>
      <c r="F41" s="6" t="n">
        <v>36672325</v>
      </c>
      <c r="G41" s="4" t="s">
        <v>54</v>
      </c>
    </row>
    <row r="42" customFormat="false" ht="15" hidden="false" customHeight="false" outlineLevel="0" collapsed="false">
      <c r="A42" s="4" t="n">
        <v>38</v>
      </c>
      <c r="B42" s="5" t="s">
        <v>121</v>
      </c>
      <c r="C42" s="5" t="s">
        <v>122</v>
      </c>
      <c r="D42" s="4" t="s">
        <v>53</v>
      </c>
      <c r="E42" s="6" t="n">
        <v>2500000</v>
      </c>
      <c r="F42" s="6" t="n">
        <v>17199864</v>
      </c>
      <c r="G42" s="4" t="s">
        <v>54</v>
      </c>
    </row>
    <row r="43" customFormat="false" ht="15" hidden="false" customHeight="false" outlineLevel="0" collapsed="false">
      <c r="A43" s="4" t="n">
        <v>39</v>
      </c>
      <c r="B43" s="5" t="s">
        <v>123</v>
      </c>
      <c r="C43" s="5" t="s">
        <v>124</v>
      </c>
      <c r="D43" s="4" t="s">
        <v>53</v>
      </c>
      <c r="E43" s="6" t="n">
        <v>2500000</v>
      </c>
      <c r="F43" s="6" t="n">
        <v>12373968</v>
      </c>
      <c r="G43" s="4" t="s">
        <v>54</v>
      </c>
    </row>
    <row r="44" customFormat="false" ht="15" hidden="false" customHeight="false" outlineLevel="0" collapsed="false">
      <c r="A44" s="4" t="n">
        <v>40</v>
      </c>
      <c r="B44" s="5" t="s">
        <v>125</v>
      </c>
      <c r="C44" s="5" t="s">
        <v>126</v>
      </c>
      <c r="D44" s="4" t="s">
        <v>53</v>
      </c>
      <c r="E44" s="6" t="n">
        <v>1500000</v>
      </c>
      <c r="F44" s="6" t="n">
        <v>22932949</v>
      </c>
      <c r="G44" s="4" t="s">
        <v>54</v>
      </c>
    </row>
    <row r="45" customFormat="false" ht="15" hidden="false" customHeight="false" outlineLevel="0" collapsed="false">
      <c r="A45" s="4" t="n">
        <v>41</v>
      </c>
      <c r="B45" s="5" t="s">
        <v>125</v>
      </c>
      <c r="C45" s="5" t="s">
        <v>127</v>
      </c>
      <c r="D45" s="4" t="s">
        <v>53</v>
      </c>
      <c r="E45" s="6" t="n">
        <v>2000000</v>
      </c>
      <c r="F45" s="6" t="n">
        <v>18932949</v>
      </c>
      <c r="G45" s="4" t="s">
        <v>54</v>
      </c>
    </row>
    <row r="46" customFormat="false" ht="15" hidden="false" customHeight="false" outlineLevel="0" collapsed="false">
      <c r="A46" s="4" t="n">
        <v>42</v>
      </c>
      <c r="B46" s="5" t="s">
        <v>125</v>
      </c>
      <c r="C46" s="5" t="s">
        <v>128</v>
      </c>
      <c r="D46" s="4" t="s">
        <v>53</v>
      </c>
      <c r="E46" s="6" t="n">
        <v>600000</v>
      </c>
      <c r="F46" s="6" t="n">
        <v>12145869</v>
      </c>
      <c r="G46" s="4" t="s">
        <v>54</v>
      </c>
    </row>
    <row r="47" customFormat="false" ht="15" hidden="false" customHeight="false" outlineLevel="0" collapsed="false">
      <c r="A47" s="4" t="n">
        <v>43</v>
      </c>
      <c r="B47" s="5" t="s">
        <v>129</v>
      </c>
      <c r="C47" s="5" t="s">
        <v>130</v>
      </c>
      <c r="D47" s="4" t="s">
        <v>53</v>
      </c>
      <c r="E47" s="6" t="n">
        <v>3000000</v>
      </c>
      <c r="F47" s="6" t="n">
        <v>13517169</v>
      </c>
      <c r="G47" s="4" t="s">
        <v>54</v>
      </c>
    </row>
    <row r="48" customFormat="false" ht="15" hidden="false" customHeight="false" outlineLevel="0" collapsed="false">
      <c r="A48" s="4" t="n">
        <v>44</v>
      </c>
      <c r="B48" s="5" t="s">
        <v>131</v>
      </c>
      <c r="C48" s="5" t="s">
        <v>132</v>
      </c>
      <c r="D48" s="4" t="s">
        <v>53</v>
      </c>
      <c r="E48" s="6" t="n">
        <v>2000000</v>
      </c>
      <c r="F48" s="6" t="n">
        <v>18490876</v>
      </c>
      <c r="G48" s="4" t="s">
        <v>54</v>
      </c>
    </row>
    <row r="49" customFormat="false" ht="15" hidden="false" customHeight="false" outlineLevel="0" collapsed="false">
      <c r="A49" s="4" t="n">
        <v>45</v>
      </c>
      <c r="B49" s="5" t="s">
        <v>133</v>
      </c>
      <c r="C49" s="5" t="s">
        <v>134</v>
      </c>
      <c r="D49" s="4" t="s">
        <v>53</v>
      </c>
      <c r="E49" s="6" t="n">
        <v>4000000</v>
      </c>
      <c r="F49" s="6" t="n">
        <v>17243876</v>
      </c>
      <c r="G49" s="4" t="s">
        <v>54</v>
      </c>
    </row>
    <row r="50" customFormat="false" ht="15" hidden="false" customHeight="false" outlineLevel="0" collapsed="false">
      <c r="A50" s="4" t="n">
        <v>46</v>
      </c>
      <c r="B50" s="5" t="s">
        <v>135</v>
      </c>
      <c r="C50" s="5" t="s">
        <v>136</v>
      </c>
      <c r="D50" s="4" t="s">
        <v>53</v>
      </c>
      <c r="E50" s="6" t="n">
        <v>3000000</v>
      </c>
      <c r="F50" s="6" t="n">
        <v>20496936</v>
      </c>
      <c r="G50" s="4" t="s">
        <v>54</v>
      </c>
    </row>
    <row r="51" customFormat="false" ht="15" hidden="false" customHeight="false" outlineLevel="0" collapsed="false">
      <c r="A51" s="4" t="n">
        <v>47</v>
      </c>
      <c r="B51" s="5" t="s">
        <v>137</v>
      </c>
      <c r="C51" s="5" t="s">
        <v>138</v>
      </c>
      <c r="D51" s="4" t="s">
        <v>53</v>
      </c>
      <c r="E51" s="6" t="n">
        <v>3000000</v>
      </c>
      <c r="F51" s="6" t="n">
        <v>19966476</v>
      </c>
      <c r="G51" s="4" t="s">
        <v>54</v>
      </c>
    </row>
    <row r="52" customFormat="false" ht="15" hidden="false" customHeight="false" outlineLevel="0" collapsed="false">
      <c r="A52" s="4" t="n">
        <v>48</v>
      </c>
      <c r="B52" s="5" t="s">
        <v>139</v>
      </c>
      <c r="C52" s="5" t="s">
        <v>140</v>
      </c>
      <c r="D52" s="4" t="s">
        <v>53</v>
      </c>
      <c r="E52" s="6" t="n">
        <v>2000000</v>
      </c>
      <c r="F52" s="6" t="n">
        <v>11982750</v>
      </c>
      <c r="G52" s="4" t="s">
        <v>54</v>
      </c>
    </row>
    <row r="53" customFormat="false" ht="15" hidden="false" customHeight="false" outlineLevel="0" collapsed="false">
      <c r="A53" s="4" t="n">
        <v>49</v>
      </c>
      <c r="B53" s="5" t="s">
        <v>141</v>
      </c>
      <c r="C53" s="5" t="s">
        <v>142</v>
      </c>
      <c r="D53" s="4" t="s">
        <v>53</v>
      </c>
      <c r="E53" s="6" t="n">
        <v>1000000</v>
      </c>
      <c r="F53" s="6" t="n">
        <v>7137849</v>
      </c>
      <c r="G53" s="4" t="s">
        <v>54</v>
      </c>
    </row>
    <row r="54" customFormat="false" ht="15" hidden="false" customHeight="false" outlineLevel="0" collapsed="false">
      <c r="A54" s="4" t="n">
        <v>50</v>
      </c>
      <c r="B54" s="5" t="s">
        <v>174</v>
      </c>
      <c r="C54" s="5" t="s">
        <v>175</v>
      </c>
      <c r="D54" s="4" t="s">
        <v>53</v>
      </c>
      <c r="E54" s="6" t="n">
        <v>878170</v>
      </c>
      <c r="F54" s="6" t="n">
        <v>12055131</v>
      </c>
      <c r="G54" s="4" t="s">
        <v>54</v>
      </c>
    </row>
    <row r="55" customFormat="false" ht="15" hidden="false" customHeight="false" outlineLevel="0" collapsed="false">
      <c r="A55" s="4" t="n">
        <v>51</v>
      </c>
      <c r="B55" s="5" t="s">
        <v>174</v>
      </c>
      <c r="C55" s="5" t="s">
        <v>176</v>
      </c>
      <c r="D55" s="4" t="s">
        <v>53</v>
      </c>
      <c r="E55" s="6" t="n">
        <v>1270160</v>
      </c>
      <c r="F55" s="6" t="n">
        <v>10784971</v>
      </c>
      <c r="G55" s="4" t="s">
        <v>54</v>
      </c>
    </row>
    <row r="56" customFormat="false" ht="15" hidden="false" customHeight="false" outlineLevel="0" collapsed="false">
      <c r="A56" s="4" t="n">
        <v>52</v>
      </c>
      <c r="B56" s="5" t="s">
        <v>143</v>
      </c>
      <c r="C56" s="5" t="s">
        <v>144</v>
      </c>
      <c r="D56" s="4" t="s">
        <v>53</v>
      </c>
      <c r="E56" s="6" t="n">
        <v>1500000</v>
      </c>
      <c r="F56" s="6" t="n">
        <v>18089152</v>
      </c>
      <c r="G56" s="4" t="s">
        <v>54</v>
      </c>
    </row>
    <row r="57" customFormat="false" ht="15" hidden="false" customHeight="false" outlineLevel="0" collapsed="false">
      <c r="A57" s="4" t="n">
        <v>53</v>
      </c>
      <c r="B57" s="5" t="s">
        <v>145</v>
      </c>
      <c r="C57" s="5" t="s">
        <v>146</v>
      </c>
      <c r="D57" s="4" t="s">
        <v>53</v>
      </c>
      <c r="E57" s="6" t="n">
        <v>1500000</v>
      </c>
      <c r="F57" s="6" t="n">
        <v>12685502</v>
      </c>
      <c r="G57" s="4" t="s">
        <v>54</v>
      </c>
    </row>
    <row r="58" customFormat="false" ht="15" hidden="false" customHeight="false" outlineLevel="0" collapsed="false">
      <c r="A58" s="4" t="n">
        <v>54</v>
      </c>
      <c r="B58" s="5" t="s">
        <v>147</v>
      </c>
      <c r="C58" s="5" t="s">
        <v>148</v>
      </c>
      <c r="D58" s="4" t="s">
        <v>53</v>
      </c>
      <c r="E58" s="6" t="n">
        <v>2500000</v>
      </c>
      <c r="F58" s="6" t="n">
        <v>8264027</v>
      </c>
      <c r="G58" s="4" t="s">
        <v>54</v>
      </c>
    </row>
    <row r="59" customFormat="false" ht="15" hidden="false" customHeight="false" outlineLevel="0" collapsed="false">
      <c r="A59" s="4" t="n">
        <v>55</v>
      </c>
      <c r="B59" s="5" t="s">
        <v>149</v>
      </c>
      <c r="C59" s="5" t="s">
        <v>150</v>
      </c>
      <c r="D59" s="4" t="s">
        <v>53</v>
      </c>
      <c r="E59" s="6" t="n">
        <v>6425000</v>
      </c>
      <c r="F59" s="6" t="n">
        <v>8401827</v>
      </c>
      <c r="G59" s="4" t="s">
        <v>54</v>
      </c>
    </row>
    <row r="60" customFormat="false" ht="15" hidden="false" customHeight="false" outlineLevel="0" collapsed="false">
      <c r="A60" s="4" t="n">
        <v>56</v>
      </c>
      <c r="B60" s="5" t="s">
        <v>151</v>
      </c>
      <c r="C60" s="5" t="s">
        <v>152</v>
      </c>
      <c r="D60" s="4" t="s">
        <v>53</v>
      </c>
      <c r="E60" s="6" t="n">
        <v>22000000</v>
      </c>
      <c r="F60" s="6" t="n">
        <v>20447150</v>
      </c>
      <c r="G60" s="4" t="s">
        <v>54</v>
      </c>
    </row>
    <row r="61" customFormat="false" ht="15" hidden="false" customHeight="false" outlineLevel="0" collapsed="false">
      <c r="A61" s="4" t="n">
        <v>57</v>
      </c>
      <c r="B61" s="5" t="s">
        <v>153</v>
      </c>
      <c r="C61" s="5" t="s">
        <v>154</v>
      </c>
      <c r="D61" s="4" t="s">
        <v>53</v>
      </c>
      <c r="E61" s="6" t="n">
        <v>3000000</v>
      </c>
      <c r="F61" s="6" t="n">
        <v>11037643</v>
      </c>
      <c r="G61" s="4" t="s">
        <v>54</v>
      </c>
    </row>
    <row r="62" customFormat="false" ht="15" hidden="false" customHeight="false" outlineLevel="0" collapsed="false">
      <c r="A62" s="4" t="n">
        <v>58</v>
      </c>
      <c r="B62" s="5" t="s">
        <v>177</v>
      </c>
      <c r="C62" s="5" t="s">
        <v>178</v>
      </c>
      <c r="D62" s="4" t="s">
        <v>53</v>
      </c>
      <c r="E62" s="6" t="n">
        <v>2000000</v>
      </c>
      <c r="F62" s="6" t="n">
        <v>19352847</v>
      </c>
      <c r="G62" s="4" t="s">
        <v>54</v>
      </c>
    </row>
    <row r="63" customFormat="false" ht="15" hidden="false" customHeight="false" outlineLevel="0" collapsed="false">
      <c r="A63" s="4" t="n">
        <v>59</v>
      </c>
      <c r="B63" s="5" t="s">
        <v>155</v>
      </c>
      <c r="C63" s="5" t="s">
        <v>156</v>
      </c>
      <c r="D63" s="4" t="s">
        <v>53</v>
      </c>
      <c r="E63" s="6" t="n">
        <v>4000000</v>
      </c>
      <c r="F63" s="6" t="n">
        <v>24771550</v>
      </c>
      <c r="G63" s="4" t="s">
        <v>54</v>
      </c>
    </row>
    <row r="64" customFormat="false" ht="15" hidden="false" customHeight="false" outlineLevel="0" collapsed="false">
      <c r="A64" s="4" t="n">
        <v>60</v>
      </c>
      <c r="B64" s="5" t="s">
        <v>157</v>
      </c>
      <c r="C64" s="5" t="s">
        <v>158</v>
      </c>
      <c r="D64" s="4" t="s">
        <v>53</v>
      </c>
      <c r="E64" s="6" t="n">
        <v>10000000</v>
      </c>
      <c r="F64" s="6" t="n">
        <v>20575527</v>
      </c>
      <c r="G64" s="4" t="s">
        <v>54</v>
      </c>
    </row>
    <row r="65" customFormat="false" ht="15" hidden="false" customHeight="false" outlineLevel="0" collapsed="false">
      <c r="A65" s="4" t="n">
        <v>61</v>
      </c>
      <c r="B65" s="5" t="s">
        <v>159</v>
      </c>
      <c r="C65" s="5" t="s">
        <v>136</v>
      </c>
      <c r="D65" s="4" t="s">
        <v>53</v>
      </c>
      <c r="E65" s="6" t="n">
        <v>5850000</v>
      </c>
      <c r="F65" s="6" t="n">
        <v>27099727</v>
      </c>
      <c r="G65" s="4" t="s">
        <v>54</v>
      </c>
    </row>
    <row r="66" customFormat="false" ht="15" hidden="false" customHeight="false" outlineLevel="0" collapsed="false">
      <c r="A66" s="4" t="n">
        <v>62</v>
      </c>
      <c r="B66" s="5" t="s">
        <v>160</v>
      </c>
      <c r="C66" s="5" t="s">
        <v>161</v>
      </c>
      <c r="D66" s="4" t="s">
        <v>53</v>
      </c>
      <c r="E66" s="6" t="n">
        <v>5000000</v>
      </c>
      <c r="F66" s="6" t="n">
        <v>13907044</v>
      </c>
      <c r="G66" s="4" t="s">
        <v>54</v>
      </c>
    </row>
    <row r="67" customFormat="false" ht="15" hidden="false" customHeight="false" outlineLevel="0" collapsed="false">
      <c r="A67" s="4" t="n">
        <v>63</v>
      </c>
      <c r="B67" s="5" t="s">
        <v>162</v>
      </c>
      <c r="C67" s="5" t="s">
        <v>163</v>
      </c>
      <c r="D67" s="4" t="s">
        <v>53</v>
      </c>
      <c r="E67" s="6" t="n">
        <v>1000000</v>
      </c>
      <c r="F67" s="6" t="n">
        <v>11364456</v>
      </c>
      <c r="G67" s="4" t="s">
        <v>54</v>
      </c>
    </row>
    <row r="68" customFormat="false" ht="15" hidden="false" customHeight="false" outlineLevel="0" collapsed="false">
      <c r="A68" s="4" t="n">
        <v>64</v>
      </c>
      <c r="B68" s="5" t="s">
        <v>164</v>
      </c>
      <c r="C68" s="5" t="s">
        <v>165</v>
      </c>
      <c r="D68" s="4" t="s">
        <v>53</v>
      </c>
      <c r="E68" s="6" t="n">
        <v>5000000</v>
      </c>
      <c r="F68" s="6" t="n">
        <v>12603800</v>
      </c>
      <c r="G68" s="4" t="s">
        <v>54</v>
      </c>
    </row>
    <row r="69" customFormat="false" ht="15" hidden="false" customHeight="false" outlineLevel="0" collapsed="false">
      <c r="A69" s="7" t="s">
        <v>19</v>
      </c>
      <c r="B69" s="7"/>
      <c r="C69" s="7"/>
      <c r="D69" s="12" t="s">
        <v>179</v>
      </c>
      <c r="E69" s="8" t="n">
        <f aca="false">SUM(E5:E68)</f>
        <v>203937190</v>
      </c>
      <c r="F69" s="7"/>
      <c r="G69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6" min="5" style="0" width="1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0" t="s">
        <v>180</v>
      </c>
      <c r="B1" s="10"/>
      <c r="C1" s="10"/>
      <c r="D1" s="10"/>
      <c r="E1" s="10"/>
      <c r="F1" s="10"/>
      <c r="G1" s="10"/>
    </row>
    <row r="2" customFormat="false" ht="12.65" hidden="false" customHeight="false" outlineLevel="0" collapsed="false">
      <c r="A2" s="11" t="s">
        <v>181</v>
      </c>
      <c r="B2" s="11"/>
      <c r="C2" s="11"/>
      <c r="D2" s="11"/>
      <c r="E2" s="11"/>
      <c r="F2" s="11"/>
      <c r="G2" s="11"/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</row>
    <row r="5" customFormat="false" ht="15" hidden="false" customHeight="false" outlineLevel="0" collapsed="false">
      <c r="A5" s="4" t="n">
        <v>1</v>
      </c>
      <c r="B5" s="5" t="s">
        <v>182</v>
      </c>
      <c r="C5" s="5" t="s">
        <v>183</v>
      </c>
      <c r="D5" s="4" t="s">
        <v>184</v>
      </c>
      <c r="E5" s="6" t="n">
        <v>100000</v>
      </c>
      <c r="F5" s="6" t="n">
        <v>1431132</v>
      </c>
      <c r="G5" s="4" t="s">
        <v>185</v>
      </c>
    </row>
    <row r="6" customFormat="false" ht="15" hidden="false" customHeight="false" outlineLevel="0" collapsed="false">
      <c r="A6" s="4" t="n">
        <v>2</v>
      </c>
      <c r="B6" s="5" t="s">
        <v>186</v>
      </c>
      <c r="C6" s="5" t="s">
        <v>187</v>
      </c>
      <c r="D6" s="4" t="s">
        <v>184</v>
      </c>
      <c r="E6" s="6" t="n">
        <v>200000</v>
      </c>
      <c r="F6" s="6" t="n">
        <v>11454582</v>
      </c>
      <c r="G6" s="4" t="s">
        <v>185</v>
      </c>
    </row>
    <row r="7" customFormat="false" ht="15" hidden="false" customHeight="false" outlineLevel="0" collapsed="false">
      <c r="A7" s="4" t="n">
        <v>3</v>
      </c>
      <c r="B7" s="5" t="s">
        <v>188</v>
      </c>
      <c r="C7" s="5" t="s">
        <v>189</v>
      </c>
      <c r="D7" s="4" t="s">
        <v>190</v>
      </c>
      <c r="E7" s="6" t="n">
        <v>300000</v>
      </c>
      <c r="F7" s="6" t="n">
        <v>5568901</v>
      </c>
      <c r="G7" s="4" t="s">
        <v>185</v>
      </c>
    </row>
    <row r="8" customFormat="false" ht="15" hidden="false" customHeight="false" outlineLevel="0" collapsed="false">
      <c r="A8" s="4" t="n">
        <v>4</v>
      </c>
      <c r="B8" s="5" t="s">
        <v>191</v>
      </c>
      <c r="C8" s="5" t="s">
        <v>192</v>
      </c>
      <c r="D8" s="4" t="s">
        <v>193</v>
      </c>
      <c r="E8" s="6" t="n">
        <v>200000</v>
      </c>
      <c r="F8" s="6" t="n">
        <v>6034364</v>
      </c>
      <c r="G8" s="4" t="s">
        <v>185</v>
      </c>
    </row>
    <row r="9" customFormat="false" ht="15" hidden="false" customHeight="false" outlineLevel="0" collapsed="false">
      <c r="A9" s="4" t="n">
        <v>5</v>
      </c>
      <c r="B9" s="5" t="s">
        <v>194</v>
      </c>
      <c r="C9" s="5" t="s">
        <v>170</v>
      </c>
      <c r="D9" s="4" t="s">
        <v>184</v>
      </c>
      <c r="E9" s="6" t="n">
        <v>200000</v>
      </c>
      <c r="F9" s="6" t="n">
        <v>7553163</v>
      </c>
      <c r="G9" s="4" t="s">
        <v>185</v>
      </c>
    </row>
    <row r="10" customFormat="false" ht="15" hidden="false" customHeight="false" outlineLevel="0" collapsed="false">
      <c r="A10" s="4" t="n">
        <v>6</v>
      </c>
      <c r="B10" s="5" t="s">
        <v>195</v>
      </c>
      <c r="C10" s="5" t="s">
        <v>196</v>
      </c>
      <c r="D10" s="4" t="s">
        <v>190</v>
      </c>
      <c r="E10" s="6" t="n">
        <v>300000</v>
      </c>
      <c r="F10" s="6" t="n">
        <v>12968309</v>
      </c>
      <c r="G10" s="4" t="s">
        <v>185</v>
      </c>
    </row>
    <row r="11" customFormat="false" ht="15" hidden="false" customHeight="false" outlineLevel="0" collapsed="false">
      <c r="A11" s="4" t="n">
        <v>7</v>
      </c>
      <c r="B11" s="5" t="s">
        <v>197</v>
      </c>
      <c r="C11" s="5" t="s">
        <v>126</v>
      </c>
      <c r="D11" s="4" t="s">
        <v>190</v>
      </c>
      <c r="E11" s="6" t="n">
        <v>300000</v>
      </c>
      <c r="F11" s="6" t="n">
        <v>11082240</v>
      </c>
      <c r="G11" s="4" t="s">
        <v>185</v>
      </c>
    </row>
    <row r="12" customFormat="false" ht="15" hidden="false" customHeight="false" outlineLevel="0" collapsed="false">
      <c r="A12" s="4" t="n">
        <v>8</v>
      </c>
      <c r="B12" s="5" t="s">
        <v>198</v>
      </c>
      <c r="C12" s="5" t="s">
        <v>199</v>
      </c>
      <c r="D12" s="4" t="s">
        <v>200</v>
      </c>
      <c r="E12" s="6" t="n">
        <v>512000</v>
      </c>
      <c r="F12" s="6" t="n">
        <v>7772035</v>
      </c>
      <c r="G12" s="4" t="s">
        <v>185</v>
      </c>
    </row>
    <row r="13" customFormat="false" ht="15" hidden="false" customHeight="false" outlineLevel="0" collapsed="false">
      <c r="A13" s="4" t="n">
        <v>9</v>
      </c>
      <c r="B13" s="5" t="s">
        <v>201</v>
      </c>
      <c r="C13" s="5" t="s">
        <v>202</v>
      </c>
      <c r="D13" s="4" t="s">
        <v>184</v>
      </c>
      <c r="E13" s="6" t="n">
        <v>200000</v>
      </c>
      <c r="F13" s="6" t="n">
        <v>11923776</v>
      </c>
      <c r="G13" s="4" t="s">
        <v>185</v>
      </c>
    </row>
    <row r="14" customFormat="false" ht="15" hidden="false" customHeight="false" outlineLevel="0" collapsed="false">
      <c r="A14" s="4" t="n">
        <v>10</v>
      </c>
      <c r="B14" s="5" t="s">
        <v>201</v>
      </c>
      <c r="C14" s="5" t="s">
        <v>203</v>
      </c>
      <c r="D14" s="4" t="s">
        <v>204</v>
      </c>
      <c r="E14" s="6" t="n">
        <v>200000</v>
      </c>
      <c r="F14" s="6" t="n">
        <v>11723776</v>
      </c>
      <c r="G14" s="4" t="s">
        <v>185</v>
      </c>
    </row>
    <row r="15" customFormat="false" ht="15" hidden="false" customHeight="false" outlineLevel="0" collapsed="false">
      <c r="A15" s="4" t="n">
        <v>11</v>
      </c>
      <c r="B15" s="5" t="s">
        <v>205</v>
      </c>
      <c r="C15" s="5" t="s">
        <v>206</v>
      </c>
      <c r="D15" s="4" t="s">
        <v>190</v>
      </c>
      <c r="E15" s="6" t="n">
        <v>300000</v>
      </c>
      <c r="F15" s="6" t="n">
        <v>18278186</v>
      </c>
      <c r="G15" s="4" t="s">
        <v>185</v>
      </c>
    </row>
    <row r="16" customFormat="false" ht="15" hidden="false" customHeight="false" outlineLevel="0" collapsed="false">
      <c r="A16" s="4" t="n">
        <v>12</v>
      </c>
      <c r="B16" s="5" t="s">
        <v>207</v>
      </c>
      <c r="C16" s="5" t="s">
        <v>208</v>
      </c>
      <c r="D16" s="4" t="s">
        <v>204</v>
      </c>
      <c r="E16" s="6" t="n">
        <v>200000</v>
      </c>
      <c r="F16" s="6" t="n">
        <v>11785989</v>
      </c>
      <c r="G16" s="4" t="s">
        <v>185</v>
      </c>
    </row>
    <row r="17" customFormat="false" ht="15" hidden="false" customHeight="false" outlineLevel="0" collapsed="false">
      <c r="A17" s="4" t="n">
        <v>13</v>
      </c>
      <c r="B17" s="5" t="s">
        <v>81</v>
      </c>
      <c r="C17" s="5" t="s">
        <v>209</v>
      </c>
      <c r="D17" s="4" t="s">
        <v>184</v>
      </c>
      <c r="E17" s="6" t="n">
        <v>200000</v>
      </c>
      <c r="F17" s="6" t="n">
        <v>20286933</v>
      </c>
      <c r="G17" s="4" t="s">
        <v>185</v>
      </c>
    </row>
    <row r="18" customFormat="false" ht="15" hidden="false" customHeight="false" outlineLevel="0" collapsed="false">
      <c r="A18" s="4" t="n">
        <v>14</v>
      </c>
      <c r="B18" s="5" t="s">
        <v>81</v>
      </c>
      <c r="C18" s="5" t="s">
        <v>209</v>
      </c>
      <c r="D18" s="4" t="s">
        <v>190</v>
      </c>
      <c r="E18" s="6" t="n">
        <v>300000</v>
      </c>
      <c r="F18" s="6" t="n">
        <v>19986933</v>
      </c>
      <c r="G18" s="4" t="s">
        <v>185</v>
      </c>
    </row>
    <row r="19" customFormat="false" ht="15" hidden="false" customHeight="false" outlineLevel="0" collapsed="false">
      <c r="A19" s="4" t="n">
        <v>15</v>
      </c>
      <c r="B19" s="5" t="s">
        <v>210</v>
      </c>
      <c r="C19" s="5" t="s">
        <v>126</v>
      </c>
      <c r="D19" s="4" t="s">
        <v>190</v>
      </c>
      <c r="E19" s="6" t="n">
        <v>300000</v>
      </c>
      <c r="F19" s="6" t="n">
        <v>19866224</v>
      </c>
      <c r="G19" s="4" t="s">
        <v>185</v>
      </c>
    </row>
    <row r="20" customFormat="false" ht="15" hidden="false" customHeight="false" outlineLevel="0" collapsed="false">
      <c r="A20" s="4" t="n">
        <v>16</v>
      </c>
      <c r="B20" s="5" t="s">
        <v>211</v>
      </c>
      <c r="C20" s="5" t="s">
        <v>212</v>
      </c>
      <c r="D20" s="4" t="s">
        <v>184</v>
      </c>
      <c r="E20" s="6" t="n">
        <v>200000</v>
      </c>
      <c r="F20" s="6" t="n">
        <v>12279813</v>
      </c>
      <c r="G20" s="4" t="s">
        <v>185</v>
      </c>
    </row>
    <row r="21" customFormat="false" ht="15" hidden="false" customHeight="false" outlineLevel="0" collapsed="false">
      <c r="A21" s="4" t="n">
        <v>17</v>
      </c>
      <c r="B21" s="5" t="s">
        <v>89</v>
      </c>
      <c r="C21" s="5" t="s">
        <v>213</v>
      </c>
      <c r="D21" s="4"/>
      <c r="E21" s="6" t="n">
        <v>300000</v>
      </c>
      <c r="F21" s="6" t="n">
        <v>16052488</v>
      </c>
      <c r="G21" s="4" t="s">
        <v>185</v>
      </c>
    </row>
    <row r="22" customFormat="false" ht="15" hidden="false" customHeight="false" outlineLevel="0" collapsed="false">
      <c r="A22" s="4" t="n">
        <v>18</v>
      </c>
      <c r="B22" s="5" t="s">
        <v>214</v>
      </c>
      <c r="C22" s="5" t="s">
        <v>84</v>
      </c>
      <c r="D22" s="4" t="s">
        <v>215</v>
      </c>
      <c r="E22" s="6" t="n">
        <v>200000</v>
      </c>
      <c r="F22" s="6" t="n">
        <v>18267004</v>
      </c>
      <c r="G22" s="4" t="s">
        <v>185</v>
      </c>
    </row>
    <row r="23" customFormat="false" ht="15" hidden="false" customHeight="false" outlineLevel="0" collapsed="false">
      <c r="A23" s="4" t="n">
        <v>19</v>
      </c>
      <c r="B23" s="5" t="s">
        <v>216</v>
      </c>
      <c r="C23" s="5" t="s">
        <v>217</v>
      </c>
      <c r="D23" s="4" t="s">
        <v>190</v>
      </c>
      <c r="E23" s="6" t="n">
        <v>300000</v>
      </c>
      <c r="F23" s="6" t="n">
        <v>17002027</v>
      </c>
      <c r="G23" s="4" t="s">
        <v>185</v>
      </c>
    </row>
    <row r="24" customFormat="false" ht="15" hidden="false" customHeight="false" outlineLevel="0" collapsed="false">
      <c r="A24" s="4" t="n">
        <v>20</v>
      </c>
      <c r="B24" s="5" t="s">
        <v>218</v>
      </c>
      <c r="C24" s="5" t="s">
        <v>88</v>
      </c>
      <c r="D24" s="4" t="s">
        <v>184</v>
      </c>
      <c r="E24" s="6" t="n">
        <v>200000</v>
      </c>
      <c r="F24" s="6" t="n">
        <v>11954142</v>
      </c>
      <c r="G24" s="4" t="s">
        <v>185</v>
      </c>
    </row>
    <row r="25" customFormat="false" ht="15" hidden="false" customHeight="false" outlineLevel="0" collapsed="false">
      <c r="A25" s="4" t="n">
        <v>21</v>
      </c>
      <c r="B25" s="5" t="s">
        <v>218</v>
      </c>
      <c r="C25" s="5" t="s">
        <v>88</v>
      </c>
      <c r="D25" s="4" t="s">
        <v>204</v>
      </c>
      <c r="E25" s="6" t="n">
        <v>200000</v>
      </c>
      <c r="F25" s="6" t="n">
        <v>11754142</v>
      </c>
      <c r="G25" s="4" t="s">
        <v>185</v>
      </c>
    </row>
    <row r="26" customFormat="false" ht="15" hidden="false" customHeight="false" outlineLevel="0" collapsed="false">
      <c r="A26" s="4" t="n">
        <v>22</v>
      </c>
      <c r="B26" s="5" t="s">
        <v>219</v>
      </c>
      <c r="C26" s="5" t="s">
        <v>220</v>
      </c>
      <c r="D26" s="4" t="s">
        <v>190</v>
      </c>
      <c r="E26" s="6" t="n">
        <v>400000</v>
      </c>
      <c r="F26" s="6" t="n">
        <v>12919370</v>
      </c>
      <c r="G26" s="4" t="s">
        <v>185</v>
      </c>
    </row>
    <row r="27" customFormat="false" ht="15" hidden="false" customHeight="false" outlineLevel="0" collapsed="false">
      <c r="A27" s="4" t="n">
        <v>23</v>
      </c>
      <c r="B27" s="5" t="s">
        <v>221</v>
      </c>
      <c r="C27" s="5" t="s">
        <v>203</v>
      </c>
      <c r="D27" s="4" t="s">
        <v>204</v>
      </c>
      <c r="E27" s="6" t="n">
        <v>200000</v>
      </c>
      <c r="F27" s="6" t="n">
        <v>10408031</v>
      </c>
      <c r="G27" s="4" t="s">
        <v>185</v>
      </c>
    </row>
    <row r="28" customFormat="false" ht="15" hidden="false" customHeight="false" outlineLevel="0" collapsed="false">
      <c r="A28" s="4" t="n">
        <v>24</v>
      </c>
      <c r="B28" s="5" t="s">
        <v>221</v>
      </c>
      <c r="C28" s="5" t="s">
        <v>222</v>
      </c>
      <c r="D28" s="4" t="s">
        <v>184</v>
      </c>
      <c r="E28" s="6" t="n">
        <v>200000</v>
      </c>
      <c r="F28" s="6" t="n">
        <v>10208031</v>
      </c>
      <c r="G28" s="4" t="s">
        <v>185</v>
      </c>
    </row>
    <row r="29" customFormat="false" ht="15" hidden="false" customHeight="false" outlineLevel="0" collapsed="false">
      <c r="A29" s="4" t="n">
        <v>25</v>
      </c>
      <c r="B29" s="5" t="s">
        <v>223</v>
      </c>
      <c r="C29" s="5" t="s">
        <v>224</v>
      </c>
      <c r="D29" s="4" t="s">
        <v>225</v>
      </c>
      <c r="E29" s="6" t="n">
        <v>62500</v>
      </c>
      <c r="F29" s="6" t="n">
        <v>24966558</v>
      </c>
      <c r="G29" s="4" t="s">
        <v>185</v>
      </c>
    </row>
    <row r="30" customFormat="false" ht="15" hidden="false" customHeight="false" outlineLevel="0" collapsed="false">
      <c r="A30" s="4" t="n">
        <v>26</v>
      </c>
      <c r="B30" s="5" t="s">
        <v>223</v>
      </c>
      <c r="C30" s="5" t="s">
        <v>226</v>
      </c>
      <c r="D30" s="4" t="s">
        <v>190</v>
      </c>
      <c r="E30" s="6" t="n">
        <v>300000</v>
      </c>
      <c r="F30" s="6" t="n">
        <v>24666558</v>
      </c>
      <c r="G30" s="4" t="s">
        <v>185</v>
      </c>
    </row>
    <row r="31" customFormat="false" ht="15" hidden="false" customHeight="false" outlineLevel="0" collapsed="false">
      <c r="A31" s="4" t="n">
        <v>27</v>
      </c>
      <c r="B31" s="5" t="s">
        <v>227</v>
      </c>
      <c r="C31" s="5" t="s">
        <v>228</v>
      </c>
      <c r="D31" s="4" t="s">
        <v>184</v>
      </c>
      <c r="E31" s="6" t="n">
        <v>200000</v>
      </c>
      <c r="F31" s="6" t="n">
        <v>12998432</v>
      </c>
      <c r="G31" s="4" t="s">
        <v>185</v>
      </c>
    </row>
    <row r="32" customFormat="false" ht="15" hidden="false" customHeight="false" outlineLevel="0" collapsed="false">
      <c r="A32" s="4" t="n">
        <v>28</v>
      </c>
      <c r="B32" s="5" t="s">
        <v>227</v>
      </c>
      <c r="C32" s="5" t="s">
        <v>228</v>
      </c>
      <c r="D32" s="4" t="s">
        <v>190</v>
      </c>
      <c r="E32" s="6" t="n">
        <v>300000</v>
      </c>
      <c r="F32" s="6" t="n">
        <v>12698432</v>
      </c>
      <c r="G32" s="4" t="s">
        <v>185</v>
      </c>
    </row>
    <row r="33" customFormat="false" ht="15" hidden="false" customHeight="false" outlineLevel="0" collapsed="false">
      <c r="A33" s="4" t="n">
        <v>29</v>
      </c>
      <c r="B33" s="5" t="s">
        <v>229</v>
      </c>
      <c r="C33" s="5" t="s">
        <v>230</v>
      </c>
      <c r="D33" s="4" t="s">
        <v>204</v>
      </c>
      <c r="E33" s="6" t="n">
        <v>200000</v>
      </c>
      <c r="F33" s="6" t="n">
        <v>12368971</v>
      </c>
      <c r="G33" s="4" t="s">
        <v>185</v>
      </c>
    </row>
    <row r="34" customFormat="false" ht="15" hidden="false" customHeight="false" outlineLevel="0" collapsed="false">
      <c r="A34" s="4" t="n">
        <v>30</v>
      </c>
      <c r="B34" s="5" t="s">
        <v>231</v>
      </c>
      <c r="C34" s="5" t="s">
        <v>232</v>
      </c>
      <c r="D34" s="4" t="s">
        <v>190</v>
      </c>
      <c r="E34" s="6" t="n">
        <v>300000</v>
      </c>
      <c r="F34" s="6" t="n">
        <v>13892932</v>
      </c>
      <c r="G34" s="4" t="s">
        <v>185</v>
      </c>
    </row>
    <row r="35" customFormat="false" ht="15" hidden="false" customHeight="false" outlineLevel="0" collapsed="false">
      <c r="A35" s="4" t="n">
        <v>31</v>
      </c>
      <c r="B35" s="5" t="s">
        <v>233</v>
      </c>
      <c r="C35" s="5" t="s">
        <v>199</v>
      </c>
      <c r="D35" s="4" t="s">
        <v>184</v>
      </c>
      <c r="E35" s="6" t="n">
        <v>200000</v>
      </c>
      <c r="F35" s="6" t="n">
        <v>26105454</v>
      </c>
      <c r="G35" s="4" t="s">
        <v>185</v>
      </c>
    </row>
    <row r="36" customFormat="false" ht="15" hidden="false" customHeight="false" outlineLevel="0" collapsed="false">
      <c r="A36" s="4" t="n">
        <v>32</v>
      </c>
      <c r="B36" s="5" t="s">
        <v>233</v>
      </c>
      <c r="C36" s="5" t="s">
        <v>199</v>
      </c>
      <c r="D36" s="4" t="s">
        <v>204</v>
      </c>
      <c r="E36" s="6" t="n">
        <v>200000</v>
      </c>
      <c r="F36" s="6" t="n">
        <v>25905454</v>
      </c>
      <c r="G36" s="4" t="s">
        <v>185</v>
      </c>
    </row>
    <row r="37" customFormat="false" ht="15" hidden="false" customHeight="false" outlineLevel="0" collapsed="false">
      <c r="A37" s="4" t="n">
        <v>33</v>
      </c>
      <c r="B37" s="5" t="s">
        <v>234</v>
      </c>
      <c r="C37" s="5" t="s">
        <v>235</v>
      </c>
      <c r="D37" s="4" t="s">
        <v>190</v>
      </c>
      <c r="E37" s="6" t="n">
        <v>300000</v>
      </c>
      <c r="F37" s="6" t="n">
        <v>16859589</v>
      </c>
      <c r="G37" s="4" t="s">
        <v>185</v>
      </c>
    </row>
    <row r="38" customFormat="false" ht="15" hidden="false" customHeight="false" outlineLevel="0" collapsed="false">
      <c r="A38" s="4" t="n">
        <v>34</v>
      </c>
      <c r="B38" s="5" t="s">
        <v>236</v>
      </c>
      <c r="C38" s="5" t="s">
        <v>237</v>
      </c>
      <c r="D38" s="4" t="s">
        <v>190</v>
      </c>
      <c r="E38" s="6" t="n">
        <v>300000</v>
      </c>
      <c r="F38" s="6" t="n">
        <v>26873804</v>
      </c>
      <c r="G38" s="4" t="s">
        <v>185</v>
      </c>
    </row>
    <row r="39" customFormat="false" ht="15" hidden="false" customHeight="false" outlineLevel="0" collapsed="false">
      <c r="A39" s="4" t="n">
        <v>35</v>
      </c>
      <c r="B39" s="5" t="s">
        <v>238</v>
      </c>
      <c r="C39" s="5" t="s">
        <v>239</v>
      </c>
      <c r="D39" s="4" t="s">
        <v>190</v>
      </c>
      <c r="E39" s="6" t="n">
        <v>300000</v>
      </c>
      <c r="F39" s="6" t="n">
        <v>17030538</v>
      </c>
      <c r="G39" s="4" t="s">
        <v>185</v>
      </c>
    </row>
    <row r="40" customFormat="false" ht="15" hidden="false" customHeight="false" outlineLevel="0" collapsed="false">
      <c r="A40" s="4" t="n">
        <v>36</v>
      </c>
      <c r="B40" s="5" t="s">
        <v>238</v>
      </c>
      <c r="C40" s="5" t="s">
        <v>240</v>
      </c>
      <c r="D40" s="4" t="s">
        <v>184</v>
      </c>
      <c r="E40" s="6" t="n">
        <v>200000</v>
      </c>
      <c r="F40" s="6" t="n">
        <v>16830538</v>
      </c>
      <c r="G40" s="4" t="s">
        <v>185</v>
      </c>
    </row>
    <row r="41" customFormat="false" ht="15" hidden="false" customHeight="false" outlineLevel="0" collapsed="false">
      <c r="A41" s="4" t="n">
        <v>37</v>
      </c>
      <c r="B41" s="5" t="s">
        <v>241</v>
      </c>
      <c r="C41" s="5" t="s">
        <v>242</v>
      </c>
      <c r="D41" s="4"/>
      <c r="E41" s="6" t="n">
        <v>10000144</v>
      </c>
      <c r="F41" s="6" t="n">
        <v>16762628</v>
      </c>
      <c r="G41" s="4" t="s">
        <v>185</v>
      </c>
    </row>
    <row r="42" customFormat="false" ht="15" hidden="false" customHeight="false" outlineLevel="0" collapsed="false">
      <c r="A42" s="4" t="n">
        <v>38</v>
      </c>
      <c r="B42" s="5" t="s">
        <v>125</v>
      </c>
      <c r="C42" s="5" t="s">
        <v>202</v>
      </c>
      <c r="D42" s="4" t="s">
        <v>190</v>
      </c>
      <c r="E42" s="6" t="n">
        <v>300000</v>
      </c>
      <c r="F42" s="6" t="n">
        <v>19332949</v>
      </c>
      <c r="G42" s="4" t="s">
        <v>185</v>
      </c>
    </row>
    <row r="43" customFormat="false" ht="15" hidden="false" customHeight="false" outlineLevel="0" collapsed="false">
      <c r="A43" s="4" t="n">
        <v>39</v>
      </c>
      <c r="B43" s="5" t="s">
        <v>131</v>
      </c>
      <c r="C43" s="5" t="s">
        <v>243</v>
      </c>
      <c r="D43" s="4" t="s">
        <v>184</v>
      </c>
      <c r="E43" s="6" t="n">
        <v>200000</v>
      </c>
      <c r="F43" s="6" t="n">
        <v>22688872</v>
      </c>
      <c r="G43" s="4" t="s">
        <v>185</v>
      </c>
    </row>
    <row r="44" customFormat="false" ht="15" hidden="false" customHeight="false" outlineLevel="0" collapsed="false">
      <c r="A44" s="4" t="n">
        <v>40</v>
      </c>
      <c r="B44" s="5" t="s">
        <v>131</v>
      </c>
      <c r="C44" s="5" t="s">
        <v>244</v>
      </c>
      <c r="D44" s="4" t="s">
        <v>204</v>
      </c>
      <c r="E44" s="6" t="n">
        <v>200000</v>
      </c>
      <c r="F44" s="6" t="n">
        <v>22488872</v>
      </c>
      <c r="G44" s="4" t="s">
        <v>185</v>
      </c>
    </row>
    <row r="45" customFormat="false" ht="15" hidden="false" customHeight="false" outlineLevel="0" collapsed="false">
      <c r="A45" s="4" t="n">
        <v>41</v>
      </c>
      <c r="B45" s="5" t="s">
        <v>133</v>
      </c>
      <c r="C45" s="5" t="s">
        <v>158</v>
      </c>
      <c r="D45" s="4" t="s">
        <v>190</v>
      </c>
      <c r="E45" s="6" t="n">
        <v>300000</v>
      </c>
      <c r="F45" s="6" t="n">
        <v>19798636</v>
      </c>
      <c r="G45" s="4" t="s">
        <v>185</v>
      </c>
    </row>
    <row r="46" customFormat="false" ht="15" hidden="false" customHeight="false" outlineLevel="0" collapsed="false">
      <c r="A46" s="4" t="n">
        <v>42</v>
      </c>
      <c r="B46" s="5" t="s">
        <v>139</v>
      </c>
      <c r="C46" s="5" t="s">
        <v>245</v>
      </c>
      <c r="D46" s="4" t="s">
        <v>190</v>
      </c>
      <c r="E46" s="6" t="n">
        <v>300000</v>
      </c>
      <c r="F46" s="6" t="n">
        <v>18424940</v>
      </c>
      <c r="G46" s="4" t="s">
        <v>185</v>
      </c>
    </row>
    <row r="47" customFormat="false" ht="15" hidden="false" customHeight="false" outlineLevel="0" collapsed="false">
      <c r="A47" s="4" t="n">
        <v>43</v>
      </c>
      <c r="B47" s="5" t="s">
        <v>246</v>
      </c>
      <c r="C47" s="5" t="s">
        <v>247</v>
      </c>
      <c r="D47" s="4" t="s">
        <v>248</v>
      </c>
      <c r="E47" s="6" t="n">
        <v>400000</v>
      </c>
      <c r="F47" s="6" t="n">
        <v>11270060</v>
      </c>
      <c r="G47" s="4" t="s">
        <v>185</v>
      </c>
    </row>
    <row r="48" customFormat="false" ht="15" hidden="false" customHeight="false" outlineLevel="0" collapsed="false">
      <c r="A48" s="4" t="n">
        <v>44</v>
      </c>
      <c r="B48" s="5" t="s">
        <v>249</v>
      </c>
      <c r="C48" s="5" t="s">
        <v>250</v>
      </c>
      <c r="D48" s="4" t="s">
        <v>190</v>
      </c>
      <c r="E48" s="6" t="n">
        <v>300000</v>
      </c>
      <c r="F48" s="6" t="n">
        <v>15418513</v>
      </c>
      <c r="G48" s="4" t="s">
        <v>185</v>
      </c>
    </row>
    <row r="49" customFormat="false" ht="15" hidden="false" customHeight="false" outlineLevel="0" collapsed="false">
      <c r="A49" s="4" t="n">
        <v>45</v>
      </c>
      <c r="B49" s="5" t="s">
        <v>251</v>
      </c>
      <c r="C49" s="5" t="s">
        <v>252</v>
      </c>
      <c r="D49" s="4"/>
      <c r="E49" s="6" t="n">
        <v>10163480</v>
      </c>
      <c r="F49" s="6" t="n">
        <v>49531962</v>
      </c>
      <c r="G49" s="4" t="s">
        <v>185</v>
      </c>
    </row>
    <row r="50" customFormat="false" ht="15" hidden="false" customHeight="false" outlineLevel="0" collapsed="false">
      <c r="A50" s="4" t="n">
        <v>46</v>
      </c>
      <c r="B50" s="5" t="s">
        <v>251</v>
      </c>
      <c r="C50" s="5" t="s">
        <v>165</v>
      </c>
      <c r="D50" s="4"/>
      <c r="E50" s="6" t="n">
        <v>10705080</v>
      </c>
      <c r="F50" s="6" t="n">
        <v>13026882</v>
      </c>
      <c r="G50" s="4" t="s">
        <v>185</v>
      </c>
    </row>
    <row r="51" customFormat="false" ht="15" hidden="false" customHeight="false" outlineLevel="0" collapsed="false">
      <c r="A51" s="4" t="n">
        <v>47</v>
      </c>
      <c r="B51" s="5" t="s">
        <v>143</v>
      </c>
      <c r="C51" s="5" t="s">
        <v>253</v>
      </c>
      <c r="D51" s="4" t="s">
        <v>254</v>
      </c>
      <c r="E51" s="6" t="n">
        <v>3500000</v>
      </c>
      <c r="F51" s="6" t="n">
        <v>24589152</v>
      </c>
      <c r="G51" s="4" t="s">
        <v>185</v>
      </c>
    </row>
    <row r="52" customFormat="false" ht="15" hidden="false" customHeight="false" outlineLevel="0" collapsed="false">
      <c r="A52" s="4" t="n">
        <v>48</v>
      </c>
      <c r="B52" s="5" t="s">
        <v>143</v>
      </c>
      <c r="C52" s="5" t="s">
        <v>255</v>
      </c>
      <c r="D52" s="4" t="s">
        <v>256</v>
      </c>
      <c r="E52" s="6" t="n">
        <v>3500000</v>
      </c>
      <c r="F52" s="6" t="n">
        <v>21089152</v>
      </c>
      <c r="G52" s="4" t="s">
        <v>185</v>
      </c>
    </row>
    <row r="53" customFormat="false" ht="15" hidden="false" customHeight="false" outlineLevel="0" collapsed="false">
      <c r="A53" s="4" t="n">
        <v>49</v>
      </c>
      <c r="B53" s="5" t="s">
        <v>257</v>
      </c>
      <c r="C53" s="5" t="s">
        <v>258</v>
      </c>
      <c r="D53" s="4" t="s">
        <v>190</v>
      </c>
      <c r="E53" s="6" t="n">
        <v>300000</v>
      </c>
      <c r="F53" s="6" t="n">
        <v>20010582</v>
      </c>
      <c r="G53" s="4" t="s">
        <v>185</v>
      </c>
    </row>
    <row r="54" customFormat="false" ht="15" hidden="false" customHeight="false" outlineLevel="0" collapsed="false">
      <c r="A54" s="4" t="n">
        <v>50</v>
      </c>
      <c r="B54" s="5" t="s">
        <v>259</v>
      </c>
      <c r="C54" s="5" t="s">
        <v>260</v>
      </c>
      <c r="D54" s="4" t="s">
        <v>190</v>
      </c>
      <c r="E54" s="6" t="n">
        <v>300000</v>
      </c>
      <c r="F54" s="6" t="n">
        <v>19841870</v>
      </c>
      <c r="G54" s="4" t="s">
        <v>185</v>
      </c>
    </row>
    <row r="55" customFormat="false" ht="15" hidden="false" customHeight="false" outlineLevel="0" collapsed="false">
      <c r="A55" s="4" t="n">
        <v>51</v>
      </c>
      <c r="B55" s="5" t="s">
        <v>259</v>
      </c>
      <c r="C55" s="5" t="s">
        <v>261</v>
      </c>
      <c r="D55" s="4" t="s">
        <v>204</v>
      </c>
      <c r="E55" s="6" t="n">
        <v>200000</v>
      </c>
      <c r="F55" s="6" t="n">
        <v>19641870</v>
      </c>
      <c r="G55" s="4" t="s">
        <v>185</v>
      </c>
    </row>
    <row r="56" customFormat="false" ht="15" hidden="false" customHeight="false" outlineLevel="0" collapsed="false">
      <c r="A56" s="4" t="n">
        <v>52</v>
      </c>
      <c r="B56" s="5" t="s">
        <v>262</v>
      </c>
      <c r="C56" s="5" t="s">
        <v>263</v>
      </c>
      <c r="D56" s="4" t="s">
        <v>204</v>
      </c>
      <c r="E56" s="6" t="n">
        <v>200000</v>
      </c>
      <c r="F56" s="6" t="n">
        <v>15684713</v>
      </c>
      <c r="G56" s="4" t="s">
        <v>185</v>
      </c>
    </row>
    <row r="57" customFormat="false" ht="15" hidden="false" customHeight="false" outlineLevel="0" collapsed="false">
      <c r="A57" s="4" t="n">
        <v>53</v>
      </c>
      <c r="B57" s="5" t="s">
        <v>264</v>
      </c>
      <c r="C57" s="5" t="s">
        <v>265</v>
      </c>
      <c r="D57" s="4" t="s">
        <v>190</v>
      </c>
      <c r="E57" s="6" t="n">
        <v>300000</v>
      </c>
      <c r="F57" s="6" t="n">
        <v>10390781</v>
      </c>
      <c r="G57" s="4" t="s">
        <v>185</v>
      </c>
    </row>
    <row r="58" customFormat="false" ht="15" hidden="false" customHeight="false" outlineLevel="0" collapsed="false">
      <c r="A58" s="4" t="n">
        <v>54</v>
      </c>
      <c r="B58" s="5" t="s">
        <v>153</v>
      </c>
      <c r="C58" s="5" t="s">
        <v>266</v>
      </c>
      <c r="D58" s="4" t="s">
        <v>184</v>
      </c>
      <c r="E58" s="6" t="n">
        <v>200000</v>
      </c>
      <c r="F58" s="6" t="n">
        <v>24783693</v>
      </c>
      <c r="G58" s="4" t="s">
        <v>185</v>
      </c>
    </row>
    <row r="59" customFormat="false" ht="15" hidden="false" customHeight="false" outlineLevel="0" collapsed="false">
      <c r="A59" s="4" t="n">
        <v>55</v>
      </c>
      <c r="B59" s="5" t="s">
        <v>153</v>
      </c>
      <c r="C59" s="5" t="s">
        <v>267</v>
      </c>
      <c r="D59" s="4" t="s">
        <v>204</v>
      </c>
      <c r="E59" s="6" t="n">
        <v>200000</v>
      </c>
      <c r="F59" s="6" t="n">
        <v>24583693</v>
      </c>
      <c r="G59" s="4" t="s">
        <v>185</v>
      </c>
    </row>
    <row r="60" customFormat="false" ht="15" hidden="false" customHeight="false" outlineLevel="0" collapsed="false">
      <c r="A60" s="4" t="n">
        <v>56</v>
      </c>
      <c r="B60" s="5" t="s">
        <v>268</v>
      </c>
      <c r="C60" s="5" t="s">
        <v>269</v>
      </c>
      <c r="D60" s="4" t="s">
        <v>184</v>
      </c>
      <c r="E60" s="6" t="n">
        <v>200000</v>
      </c>
      <c r="F60" s="6" t="n">
        <v>41373044</v>
      </c>
      <c r="G60" s="4" t="s">
        <v>185</v>
      </c>
    </row>
    <row r="61" customFormat="false" ht="15" hidden="false" customHeight="false" outlineLevel="0" collapsed="false">
      <c r="A61" s="4" t="n">
        <v>57</v>
      </c>
      <c r="B61" s="5" t="s">
        <v>268</v>
      </c>
      <c r="C61" s="5" t="s">
        <v>269</v>
      </c>
      <c r="D61" s="4" t="s">
        <v>204</v>
      </c>
      <c r="E61" s="6" t="n">
        <v>200000</v>
      </c>
      <c r="F61" s="6" t="n">
        <v>41173044</v>
      </c>
      <c r="G61" s="4" t="s">
        <v>185</v>
      </c>
    </row>
    <row r="62" customFormat="false" ht="15" hidden="false" customHeight="false" outlineLevel="0" collapsed="false">
      <c r="A62" s="4" t="n">
        <v>58</v>
      </c>
      <c r="B62" s="5" t="s">
        <v>160</v>
      </c>
      <c r="C62" s="5" t="s">
        <v>270</v>
      </c>
      <c r="D62" s="4" t="s">
        <v>190</v>
      </c>
      <c r="E62" s="6" t="n">
        <v>300000</v>
      </c>
      <c r="F62" s="6" t="n">
        <v>22220644</v>
      </c>
      <c r="G62" s="4" t="s">
        <v>185</v>
      </c>
    </row>
    <row r="63" customFormat="false" ht="15" hidden="false" customHeight="false" outlineLevel="0" collapsed="false">
      <c r="A63" s="4" t="n">
        <v>59</v>
      </c>
      <c r="B63" s="5" t="s">
        <v>160</v>
      </c>
      <c r="C63" s="5" t="s">
        <v>250</v>
      </c>
      <c r="D63" s="4" t="s">
        <v>204</v>
      </c>
      <c r="E63" s="6" t="n">
        <v>200000</v>
      </c>
      <c r="F63" s="6" t="n">
        <v>22020644</v>
      </c>
      <c r="G63" s="4" t="s">
        <v>185</v>
      </c>
    </row>
    <row r="64" customFormat="false" ht="15" hidden="false" customHeight="false" outlineLevel="0" collapsed="false">
      <c r="A64" s="4" t="n">
        <v>60</v>
      </c>
      <c r="B64" s="5" t="s">
        <v>271</v>
      </c>
      <c r="C64" s="5" t="s">
        <v>272</v>
      </c>
      <c r="D64" s="4" t="s">
        <v>190</v>
      </c>
      <c r="E64" s="6" t="n">
        <v>400000</v>
      </c>
      <c r="F64" s="6" t="n">
        <v>14858719</v>
      </c>
      <c r="G64" s="4" t="s">
        <v>185</v>
      </c>
    </row>
    <row r="65" customFormat="false" ht="15" hidden="false" customHeight="false" outlineLevel="0" collapsed="false">
      <c r="A65" s="4" t="n">
        <v>61</v>
      </c>
      <c r="B65" s="5" t="s">
        <v>271</v>
      </c>
      <c r="C65" s="5" t="s">
        <v>273</v>
      </c>
      <c r="D65" s="4" t="s">
        <v>184</v>
      </c>
      <c r="E65" s="6" t="n">
        <v>200000</v>
      </c>
      <c r="F65" s="6" t="n">
        <v>14658719</v>
      </c>
      <c r="G65" s="4" t="s">
        <v>185</v>
      </c>
    </row>
    <row r="66" customFormat="false" ht="15" hidden="false" customHeight="false" outlineLevel="0" collapsed="false">
      <c r="A66" s="4" t="n">
        <v>62</v>
      </c>
      <c r="B66" s="5" t="s">
        <v>271</v>
      </c>
      <c r="C66" s="5" t="s">
        <v>163</v>
      </c>
      <c r="D66" s="4" t="s">
        <v>204</v>
      </c>
      <c r="E66" s="6" t="n">
        <v>200000</v>
      </c>
      <c r="F66" s="6" t="n">
        <v>14458719</v>
      </c>
      <c r="G66" s="4" t="s">
        <v>185</v>
      </c>
    </row>
    <row r="67" customFormat="false" ht="15" hidden="false" customHeight="false" outlineLevel="0" collapsed="false">
      <c r="A67" s="4" t="n">
        <v>63</v>
      </c>
      <c r="B67" s="5" t="s">
        <v>274</v>
      </c>
      <c r="C67" s="5" t="s">
        <v>275</v>
      </c>
      <c r="D67" s="4" t="s">
        <v>190</v>
      </c>
      <c r="E67" s="6" t="n">
        <v>300000</v>
      </c>
      <c r="F67" s="6" t="n">
        <v>15661630</v>
      </c>
      <c r="G67" s="4" t="s">
        <v>185</v>
      </c>
    </row>
    <row r="68" customFormat="false" ht="15" hidden="false" customHeight="false" outlineLevel="0" collapsed="false">
      <c r="A68" s="7" t="s">
        <v>19</v>
      </c>
      <c r="B68" s="7"/>
      <c r="C68" s="7"/>
      <c r="D68" s="12" t="s">
        <v>276</v>
      </c>
      <c r="E68" s="8" t="n">
        <f aca="false">SUM(E5:E67)</f>
        <v>52443204</v>
      </c>
      <c r="F68" s="7"/>
      <c r="G68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2026-04-11T11:43:22Z</dcterms:created>
  <dc:creator>openpyxl</dc:creator>
  <dc:description/>
  <dc:language>en-US</dc:language>
  <cp:lastModifiedBy/>
  <dcterms:modified xsi:type="dcterms:W3CDTF">2026-04-11T11:43:22Z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